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8975063901cce/Attachments/Desktop/"/>
    </mc:Choice>
  </mc:AlternateContent>
  <xr:revisionPtr revIDLastSave="0" documentId="8_{22C57776-5484-44DD-8997-DD99C48A30E1}" xr6:coauthVersionLast="47" xr6:coauthVersionMax="47" xr10:uidLastSave="{00000000-0000-0000-0000-000000000000}"/>
  <bookViews>
    <workbookView xWindow="2988" yWindow="2100" windowWidth="17280" windowHeight="8880" xr2:uid="{7C498345-A196-4F1E-B276-4D19E19F91E3}"/>
  </bookViews>
  <sheets>
    <sheet name="Sheet1" sheetId="2" r:id="rId1"/>
    <sheet name="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</calcChain>
</file>

<file path=xl/sharedStrings.xml><?xml version="1.0" encoding="utf-8"?>
<sst xmlns="http://schemas.openxmlformats.org/spreadsheetml/2006/main" count="25" uniqueCount="25">
  <si>
    <t>Date</t>
  </si>
  <si>
    <t>Patient_Inflow</t>
  </si>
  <si>
    <t>Outpatients</t>
  </si>
  <si>
    <t>Emergency_Cases</t>
  </si>
  <si>
    <t>Bed_Occupancy_Rate</t>
  </si>
  <si>
    <t>Staff_on_Duty</t>
  </si>
  <si>
    <t>Daily_Revenue</t>
  </si>
  <si>
    <t>Medicine_Expenses</t>
  </si>
  <si>
    <t>Surgery_Count</t>
  </si>
  <si>
    <t>Operating_Theater_Utilization</t>
  </si>
  <si>
    <t>Patient_Satisfaction_Score</t>
  </si>
  <si>
    <t>Month</t>
  </si>
  <si>
    <t>Row Labels</t>
  </si>
  <si>
    <t>Jan</t>
  </si>
  <si>
    <t>Feb</t>
  </si>
  <si>
    <t>Mar</t>
  </si>
  <si>
    <t>Apr</t>
  </si>
  <si>
    <t>May</t>
  </si>
  <si>
    <t>Jun</t>
  </si>
  <si>
    <t>Jul</t>
  </si>
  <si>
    <t>Grand Total</t>
  </si>
  <si>
    <t>Sum of Daily_Revenue</t>
  </si>
  <si>
    <t>Sum of Patient_Inflow</t>
  </si>
  <si>
    <t>Sum of Patient_Satisfaction_Score</t>
  </si>
  <si>
    <t>Sum of Bed_Occupancy_Rate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</si>
</sst>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skriti Tondihal" refreshedDate="46168.508815162037" createdVersion="8" refreshedVersion="8" minRefreshableVersion="3" recordCount="200" xr:uid="{609E15A3-C457-4D96-9B78-D51532BF84F5}">
  <cacheSource type="worksheet">
    <worksheetSource ref="A1:L201" sheet="DATAset" r:id="rId2"/>
  </cacheSource>
  <cacheFields count="12">
    <cacheField name="Date" numFmtId="14">
      <sharedItems containsSemiMixedTypes="0" containsNonDate="0" containsDate="1" containsString="0" minDate="2023-01-01T00:00:00" maxDate="2023-07-20T00:00:00"/>
    </cacheField>
    <cacheField name="Patient_Inflow" numFmtId="0">
      <sharedItems containsSemiMixedTypes="0" containsString="0" containsNumber="1" containsInteger="1" minValue="86" maxValue="149"/>
    </cacheField>
    <cacheField name="Outpatients" numFmtId="0">
      <sharedItems containsSemiMixedTypes="0" containsString="0" containsNumber="1" containsInteger="1" minValue="56" maxValue="101"/>
    </cacheField>
    <cacheField name="Emergency_Cases" numFmtId="0">
      <sharedItems containsSemiMixedTypes="0" containsString="0" containsNumber="1" containsInteger="1" minValue="14" maxValue="47"/>
    </cacheField>
    <cacheField name="Bed_Occupancy_Rate" numFmtId="0">
      <sharedItems containsSemiMixedTypes="0" containsString="0" containsNumber="1" minValue="70.172759814943603" maxValue="99.982411773119907"/>
    </cacheField>
    <cacheField name="Staff_on_Duty" numFmtId="0">
      <sharedItems containsSemiMixedTypes="0" containsString="0" containsNumber="1" containsInteger="1" minValue="50" maxValue="69"/>
    </cacheField>
    <cacheField name="Daily_Revenue" numFmtId="0">
      <sharedItems containsSemiMixedTypes="0" containsString="0" containsNumber="1" minValue="20096.547908128301" maxValue="49950.425341788403"/>
    </cacheField>
    <cacheField name="Medicine_Expenses" numFmtId="0">
      <sharedItems containsSemiMixedTypes="0" containsString="0" containsNumber="1" minValue="5126.0751997575899" maxValue="14849.896561408699"/>
    </cacheField>
    <cacheField name="Surgery_Count" numFmtId="0">
      <sharedItems containsSemiMixedTypes="0" containsString="0" containsNumber="1" containsInteger="1" minValue="6" maxValue="29"/>
    </cacheField>
    <cacheField name="Operating_Theater_Utilization" numFmtId="0">
      <sharedItems containsSemiMixedTypes="0" containsString="0" containsNumber="1" minValue="50.0004653902146" maxValue="89.792771758637997"/>
    </cacheField>
    <cacheField name="Patient_Satisfaction_Score" numFmtId="0">
      <sharedItems containsSemiMixedTypes="0" containsString="0" containsNumber="1" minValue="3.0029476441726199" maxValue="4.9697168055249499"/>
    </cacheField>
    <cacheField name="Month" numFmtId="0">
      <sharedItems count="7">
        <s v="Jan"/>
        <s v="Feb"/>
        <s v="Mar"/>
        <s v="Apr"/>
        <s v="May"/>
        <s v="Jun"/>
        <s v="Ju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3-01-01T00:00:00"/>
    <n v="116"/>
    <n v="74"/>
    <n v="30"/>
    <n v="76.055603563688393"/>
    <n v="54"/>
    <n v="22137.7018329577"/>
    <n v="5570.5472115125403"/>
    <n v="15"/>
    <n v="80.806328470283802"/>
    <n v="4.0450203621711696"/>
    <x v="0"/>
  </r>
  <r>
    <d v="2023-01-02T00:00:00"/>
    <n v="128"/>
    <n v="64"/>
    <n v="24"/>
    <n v="90.202972999747502"/>
    <n v="69"/>
    <n v="20363.254257046599"/>
    <n v="7821.8707469319997"/>
    <n v="29"/>
    <n v="82.286221494595296"/>
    <n v="3.1092688400019401"/>
    <x v="0"/>
  </r>
  <r>
    <d v="2023-01-03T00:00:00"/>
    <n v="107"/>
    <n v="83"/>
    <n v="21"/>
    <n v="99.0973613832181"/>
    <n v="57"/>
    <n v="48695.041948984399"/>
    <n v="7617.0568373590504"/>
    <n v="14"/>
    <n v="54.808289164823002"/>
    <n v="4.9461563259446599"/>
    <x v="0"/>
  </r>
  <r>
    <d v="2023-01-04T00:00:00"/>
    <n v="123"/>
    <n v="79"/>
    <n v="26"/>
    <n v="72.817021473682502"/>
    <n v="61"/>
    <n v="42125.2507837702"/>
    <n v="7469.7879907199904"/>
    <n v="12"/>
    <n v="60.623313318344202"/>
    <n v="3.4522506624993401"/>
    <x v="0"/>
  </r>
  <r>
    <d v="2023-01-05T00:00:00"/>
    <n v="132"/>
    <n v="82"/>
    <n v="26"/>
    <n v="90.178063546753705"/>
    <n v="50"/>
    <n v="30597.542255061901"/>
    <n v="14062.5458052103"/>
    <n v="18"/>
    <n v="50.7020945346651"/>
    <n v="3.6083974392725602"/>
    <x v="0"/>
  </r>
  <r>
    <d v="2023-01-06T00:00:00"/>
    <n v="109"/>
    <n v="59"/>
    <n v="34"/>
    <n v="83.312506579137093"/>
    <n v="69"/>
    <n v="28896.067438629601"/>
    <n v="7495.4619984950596"/>
    <n v="19"/>
    <n v="61.732344431222501"/>
    <n v="3.60788502451005"/>
    <x v="0"/>
  </r>
  <r>
    <d v="2023-01-07T00:00:00"/>
    <n v="113"/>
    <n v="79"/>
    <n v="31"/>
    <n v="96.044267631325098"/>
    <n v="55"/>
    <n v="30491.096892375401"/>
    <n v="7719.4972612863003"/>
    <n v="20"/>
    <n v="80.925674956746803"/>
    <n v="3.4608333242346898"/>
    <x v="0"/>
  </r>
  <r>
    <d v="2023-01-08T00:00:00"/>
    <n v="118"/>
    <n v="74"/>
    <n v="34"/>
    <n v="75.314493683421503"/>
    <n v="67"/>
    <n v="43239.6059354354"/>
    <n v="12593.9826241796"/>
    <n v="17"/>
    <n v="70.718421108503094"/>
    <n v="3.0029476441726199"/>
    <x v="0"/>
  </r>
  <r>
    <d v="2023-01-09T00:00:00"/>
    <n v="124"/>
    <n v="79"/>
    <n v="31"/>
    <n v="90.778778566784894"/>
    <n v="57"/>
    <n v="39841.118332112397"/>
    <n v="9497.3984245053998"/>
    <n v="9"/>
    <n v="63.923823726731499"/>
    <n v="4.4586895881759903"/>
    <x v="0"/>
  </r>
  <r>
    <d v="2023-01-10T00:00:00"/>
    <n v="113"/>
    <n v="82"/>
    <n v="30"/>
    <n v="95.143458689443307"/>
    <n v="56"/>
    <n v="25555.867036023999"/>
    <n v="12767.105569551801"/>
    <n v="13"/>
    <n v="64.869571796253197"/>
    <n v="4.9336909995985696"/>
    <x v="0"/>
  </r>
  <r>
    <d v="2023-01-11T00:00:00"/>
    <n v="119"/>
    <n v="85"/>
    <n v="27"/>
    <n v="98.338426584220699"/>
    <n v="50"/>
    <n v="25223.280060022498"/>
    <n v="5653.6615756438496"/>
    <n v="12"/>
    <n v="50.054145028618699"/>
    <n v="3.4485869665700899"/>
    <x v="0"/>
  </r>
  <r>
    <d v="2023-01-12T00:00:00"/>
    <n v="109"/>
    <n v="75"/>
    <n v="22"/>
    <n v="90.497440848689294"/>
    <n v="65"/>
    <n v="22951.8694914019"/>
    <n v="9875.71193673384"/>
    <n v="18"/>
    <n v="61.992021102609399"/>
    <n v="4.32609438360684"/>
    <x v="0"/>
  </r>
  <r>
    <d v="2023-01-13T00:00:00"/>
    <n v="123"/>
    <n v="85"/>
    <n v="34"/>
    <n v="84.915242920252794"/>
    <n v="61"/>
    <n v="39809.0815910401"/>
    <n v="5336.1360018328196"/>
    <n v="17"/>
    <n v="75.858349665517196"/>
    <n v="4.4837926539174298"/>
    <x v="0"/>
  </r>
  <r>
    <d v="2023-01-14T00:00:00"/>
    <n v="123"/>
    <n v="94"/>
    <n v="33"/>
    <n v="88.535417206036399"/>
    <n v="55"/>
    <n v="42931.179866651997"/>
    <n v="5626.5320345535401"/>
    <n v="21"/>
    <n v="88.9677777526542"/>
    <n v="4.6968507581810499"/>
    <x v="0"/>
  </r>
  <r>
    <d v="2023-01-15T00:00:00"/>
    <n v="113"/>
    <n v="100"/>
    <n v="26"/>
    <n v="96.067149534361505"/>
    <n v="69"/>
    <n v="27951.3928497501"/>
    <n v="14064.374533444099"/>
    <n v="8"/>
    <n v="83.882433079355906"/>
    <n v="3.8452583940272098"/>
    <x v="0"/>
  </r>
  <r>
    <d v="2023-01-16T00:00:00"/>
    <n v="126"/>
    <n v="83"/>
    <n v="35"/>
    <n v="87.118292399164801"/>
    <n v="51"/>
    <n v="20628.348830927302"/>
    <n v="6392.45371117595"/>
    <n v="19"/>
    <n v="50.943798585821099"/>
    <n v="3.60586181128085"/>
    <x v="0"/>
  </r>
  <r>
    <d v="2023-01-17T00:00:00"/>
    <n v="105"/>
    <n v="97"/>
    <n v="26"/>
    <n v="70.911611790905098"/>
    <n v="63"/>
    <n v="22465.150024292801"/>
    <n v="10324.206822752099"/>
    <n v="20"/>
    <n v="85.942424186993506"/>
    <n v="3.6505902680460598"/>
    <x v="0"/>
  </r>
  <r>
    <d v="2023-01-18T00:00:00"/>
    <n v="112"/>
    <n v="59"/>
    <n v="28"/>
    <n v="97.928460865209303"/>
    <n v="53"/>
    <n v="49035.801045350898"/>
    <n v="9110.9560260070593"/>
    <n v="16"/>
    <n v="81.327936531944999"/>
    <n v="4.4252426661970201"/>
    <x v="0"/>
  </r>
  <r>
    <d v="2023-01-19T00:00:00"/>
    <n v="114"/>
    <n v="77"/>
    <n v="39"/>
    <n v="90.685802530946802"/>
    <n v="50"/>
    <n v="28863.343324322599"/>
    <n v="8473.4332625884199"/>
    <n v="17"/>
    <n v="81.215044942839199"/>
    <n v="4.6335589330112699"/>
    <x v="0"/>
  </r>
  <r>
    <d v="2023-01-20T00:00:00"/>
    <n v="121"/>
    <n v="82"/>
    <n v="42"/>
    <n v="90.295401573317307"/>
    <n v="67"/>
    <n v="43076.694435144003"/>
    <n v="13998.3334568727"/>
    <n v="20"/>
    <n v="68.319830360142802"/>
    <n v="3.3632279355132"/>
    <x v="0"/>
  </r>
  <r>
    <d v="2023-01-21T00:00:00"/>
    <n v="123"/>
    <n v="90"/>
    <n v="24"/>
    <n v="76.470254571931505"/>
    <n v="62"/>
    <n v="38739.9070656279"/>
    <n v="5218.2339677548898"/>
    <n v="15"/>
    <n v="65.920211718180099"/>
    <n v="3.7418820163155302"/>
    <x v="0"/>
  </r>
  <r>
    <d v="2023-01-22T00:00:00"/>
    <n v="102"/>
    <n v="78"/>
    <n v="37"/>
    <n v="89.7665641069797"/>
    <n v="51"/>
    <n v="31458.189189586799"/>
    <n v="11637.8968617558"/>
    <n v="13"/>
    <n v="62.1166291533277"/>
    <n v="4.8038803934983001"/>
    <x v="0"/>
  </r>
  <r>
    <d v="2023-01-23T00:00:00"/>
    <n v="94"/>
    <n v="91"/>
    <n v="35"/>
    <n v="81.815932169624702"/>
    <n v="58"/>
    <n v="26170.617865866599"/>
    <n v="14633.944342135501"/>
    <n v="18"/>
    <n v="52.627794358174597"/>
    <n v="4.6133870393894698"/>
    <x v="0"/>
  </r>
  <r>
    <d v="2023-01-24T00:00:00"/>
    <n v="116"/>
    <n v="79"/>
    <n v="33"/>
    <n v="89.536989311244696"/>
    <n v="51"/>
    <n v="23641.592544782099"/>
    <n v="10601.681834618401"/>
    <n v="21"/>
    <n v="59.129414539747899"/>
    <n v="4.9697168055249499"/>
    <x v="0"/>
  </r>
  <r>
    <d v="2023-01-25T00:00:00"/>
    <n v="132"/>
    <n v="101"/>
    <n v="26"/>
    <n v="73.1977909092397"/>
    <n v="58"/>
    <n v="38450.389041165901"/>
    <n v="14368.224620330901"/>
    <n v="16"/>
    <n v="59.8641453991209"/>
    <n v="4.5084965193641597"/>
    <x v="0"/>
  </r>
  <r>
    <d v="2023-01-26T00:00:00"/>
    <n v="113"/>
    <n v="72"/>
    <n v="41"/>
    <n v="89.735359138090999"/>
    <n v="50"/>
    <n v="43239.013419133596"/>
    <n v="5522.5787928602304"/>
    <n v="16"/>
    <n v="69.363082788407993"/>
    <n v="3.7863904020558401"/>
    <x v="0"/>
  </r>
  <r>
    <d v="2023-01-27T00:00:00"/>
    <n v="106"/>
    <n v="83"/>
    <n v="24"/>
    <n v="99.982411773119907"/>
    <n v="60"/>
    <n v="39317.127606233902"/>
    <n v="9187.9331907416108"/>
    <n v="12"/>
    <n v="79.897776263867698"/>
    <n v="4.1812756679892704"/>
    <x v="0"/>
  </r>
  <r>
    <d v="2023-01-28T00:00:00"/>
    <n v="129"/>
    <n v="67"/>
    <n v="39"/>
    <n v="71.446361165816597"/>
    <n v="52"/>
    <n v="35909.063997474703"/>
    <n v="7601.5779096205097"/>
    <n v="9"/>
    <n v="68.952393135917802"/>
    <n v="4.3220285084946397"/>
    <x v="0"/>
  </r>
  <r>
    <d v="2023-01-29T00:00:00"/>
    <n v="127"/>
    <n v="80"/>
    <n v="33"/>
    <n v="99.315225526639495"/>
    <n v="69"/>
    <n v="21258.536702949001"/>
    <n v="12308.209649807201"/>
    <n v="15"/>
    <n v="52.313777977886403"/>
    <n v="3.1569116326342401"/>
    <x v="0"/>
  </r>
  <r>
    <d v="2023-01-30T00:00:00"/>
    <n v="129"/>
    <n v="80"/>
    <n v="41"/>
    <n v="82.207238821686104"/>
    <n v="53"/>
    <n v="49054.663327831498"/>
    <n v="14812.970904972401"/>
    <n v="24"/>
    <n v="88.311592039528094"/>
    <n v="4.0889939182077297"/>
    <x v="0"/>
  </r>
  <r>
    <d v="2023-01-31T00:00:00"/>
    <n v="115"/>
    <n v="81"/>
    <n v="27"/>
    <n v="96.122603510117699"/>
    <n v="67"/>
    <n v="43961.425749637201"/>
    <n v="7565.3006244424696"/>
    <n v="18"/>
    <n v="87.708972763764393"/>
    <n v="4.4186416569452103"/>
    <x v="0"/>
  </r>
  <r>
    <d v="2023-02-01T00:00:00"/>
    <n v="134"/>
    <n v="92"/>
    <n v="25"/>
    <n v="93.471564521748206"/>
    <n v="55"/>
    <n v="28784.661101028902"/>
    <n v="11541.7460147407"/>
    <n v="17"/>
    <n v="81.407581725936296"/>
    <n v="3.3346426080021199"/>
    <x v="1"/>
  </r>
  <r>
    <d v="2023-02-02T00:00:00"/>
    <n v="114"/>
    <n v="68"/>
    <n v="20"/>
    <n v="87.010487829599995"/>
    <n v="52"/>
    <n v="49399.1098807655"/>
    <n v="6980.9763275974001"/>
    <n v="12"/>
    <n v="89.653116062568799"/>
    <n v="4.5612634348511101"/>
    <x v="1"/>
  </r>
  <r>
    <d v="2023-02-03T00:00:00"/>
    <n v="114"/>
    <n v="87"/>
    <n v="27"/>
    <n v="92.153476277539795"/>
    <n v="60"/>
    <n v="38056.447689089597"/>
    <n v="10653.302545716"/>
    <n v="15"/>
    <n v="71.779293312010495"/>
    <n v="4.1675455610282199"/>
    <x v="1"/>
  </r>
  <r>
    <d v="2023-02-04T00:00:00"/>
    <n v="128"/>
    <n v="85"/>
    <n v="19"/>
    <n v="96.355466839040403"/>
    <n v="64"/>
    <n v="37472.679746217298"/>
    <n v="9639.3248668833603"/>
    <n v="10"/>
    <n v="88.510734010128203"/>
    <n v="4.9044435713951797"/>
    <x v="1"/>
  </r>
  <r>
    <d v="2023-02-05T00:00:00"/>
    <n v="136"/>
    <n v="69"/>
    <n v="31"/>
    <n v="82.124209649530997"/>
    <n v="54"/>
    <n v="42442.195382885897"/>
    <n v="14720.0532963153"/>
    <n v="27"/>
    <n v="53.024201624669999"/>
    <n v="3.0848445964137801"/>
    <x v="1"/>
  </r>
  <r>
    <d v="2023-02-06T00:00:00"/>
    <n v="105"/>
    <n v="76"/>
    <n v="27"/>
    <n v="79.810994846897103"/>
    <n v="69"/>
    <n v="44353.093642704102"/>
    <n v="11085.2727269646"/>
    <n v="15"/>
    <n v="64.627229930454803"/>
    <n v="3.5306522751109299"/>
    <x v="1"/>
  </r>
  <r>
    <d v="2023-02-07T00:00:00"/>
    <n v="129"/>
    <n v="77"/>
    <n v="38"/>
    <n v="90.027801566907499"/>
    <n v="59"/>
    <n v="39694.358219945003"/>
    <n v="8495.0637208681801"/>
    <n v="16"/>
    <n v="59.0152507202706"/>
    <n v="4.2031077585996401"/>
    <x v="1"/>
  </r>
  <r>
    <d v="2023-02-08T00:00:00"/>
    <n v="129"/>
    <n v="94"/>
    <n v="25"/>
    <n v="94.235378258237702"/>
    <n v="61"/>
    <n v="23842.872390985998"/>
    <n v="6140.9578488793304"/>
    <n v="11"/>
    <n v="57.833323365370802"/>
    <n v="3.5931198244118598"/>
    <x v="1"/>
  </r>
  <r>
    <d v="2023-02-09T00:00:00"/>
    <n v="121"/>
    <n v="80"/>
    <n v="37"/>
    <n v="92.868554043298403"/>
    <n v="64"/>
    <n v="30148.025179834902"/>
    <n v="6512.4682873493402"/>
    <n v="11"/>
    <n v="55.632117955707002"/>
    <n v="4.4288483281424798"/>
    <x v="1"/>
  </r>
  <r>
    <d v="2023-02-10T00:00:00"/>
    <n v="114"/>
    <n v="77"/>
    <n v="37"/>
    <n v="93.934409465759003"/>
    <n v="66"/>
    <n v="47842.509209781398"/>
    <n v="7253.1692995123503"/>
    <n v="9"/>
    <n v="74.896545662639795"/>
    <n v="4.51801056504386"/>
    <x v="1"/>
  </r>
  <r>
    <d v="2023-02-11T00:00:00"/>
    <n v="137"/>
    <n v="80"/>
    <n v="41"/>
    <n v="83.067499444387906"/>
    <n v="59"/>
    <n v="26738.468355315501"/>
    <n v="7509.6666134029801"/>
    <n v="19"/>
    <n v="81.2528742298922"/>
    <n v="3.2050319281329398"/>
    <x v="1"/>
  </r>
  <r>
    <d v="2023-02-12T00:00:00"/>
    <n v="117"/>
    <n v="79"/>
    <n v="35"/>
    <n v="94.535026485250597"/>
    <n v="55"/>
    <n v="31165.0107151253"/>
    <n v="13506.1605784113"/>
    <n v="15"/>
    <n v="73.131935976814404"/>
    <n v="4.0277089284135297"/>
    <x v="1"/>
  </r>
  <r>
    <d v="2023-02-13T00:00:00"/>
    <n v="111"/>
    <n v="80"/>
    <n v="30"/>
    <n v="73.6062716611182"/>
    <n v="67"/>
    <n v="32962.306488325798"/>
    <n v="10612.2278828252"/>
    <n v="22"/>
    <n v="55.878508383528299"/>
    <n v="4.01778111118211"/>
    <x v="1"/>
  </r>
  <r>
    <d v="2023-02-14T00:00:00"/>
    <n v="113"/>
    <n v="83"/>
    <n v="35"/>
    <n v="86.334672938825406"/>
    <n v="62"/>
    <n v="33182.149690833503"/>
    <n v="10233.909113743601"/>
    <n v="9"/>
    <n v="82.444950797338805"/>
    <n v="3.7385615404310801"/>
    <x v="1"/>
  </r>
  <r>
    <d v="2023-02-15T00:00:00"/>
    <n v="140"/>
    <n v="64"/>
    <n v="29"/>
    <n v="70.172759814943603"/>
    <n v="52"/>
    <n v="38388.1874748357"/>
    <n v="6147.6887186921704"/>
    <n v="9"/>
    <n v="75.438188286549106"/>
    <n v="4.8658497251393404"/>
    <x v="1"/>
  </r>
  <r>
    <d v="2023-02-16T00:00:00"/>
    <n v="124"/>
    <n v="68"/>
    <n v="25"/>
    <n v="79.737574897008102"/>
    <n v="59"/>
    <n v="48292.275132341201"/>
    <n v="13601.396933494299"/>
    <n v="15"/>
    <n v="65.526628245079806"/>
    <n v="4.65501263974644"/>
    <x v="1"/>
  </r>
  <r>
    <d v="2023-02-17T00:00:00"/>
    <n v="131"/>
    <n v="69"/>
    <n v="28"/>
    <n v="80.993846046141897"/>
    <n v="63"/>
    <n v="27220.781354975101"/>
    <n v="12228.143032084799"/>
    <n v="15"/>
    <n v="76.965211821442495"/>
    <n v="4.39441876381927"/>
    <x v="1"/>
  </r>
  <r>
    <d v="2023-02-18T00:00:00"/>
    <n v="136"/>
    <n v="71"/>
    <n v="26"/>
    <n v="81.885180748277605"/>
    <n v="55"/>
    <n v="23645.0412890275"/>
    <n v="5676.6836190000104"/>
    <n v="12"/>
    <n v="60.396199169713299"/>
    <n v="4.4286532714699902"/>
    <x v="1"/>
  </r>
  <r>
    <d v="2023-02-19T00:00:00"/>
    <n v="114"/>
    <n v="93"/>
    <n v="16"/>
    <n v="90.864016200695801"/>
    <n v="52"/>
    <n v="25924.1146957981"/>
    <n v="12078.3509722976"/>
    <n v="14"/>
    <n v="63.807688339768397"/>
    <n v="3.92343228762623"/>
    <x v="1"/>
  </r>
  <r>
    <d v="2023-02-20T00:00:00"/>
    <n v="111"/>
    <n v="84"/>
    <n v="28"/>
    <n v="81.656743038110307"/>
    <n v="65"/>
    <n v="46607.747006277998"/>
    <n v="10435.3821734264"/>
    <n v="21"/>
    <n v="86.699433725279604"/>
    <n v="4.8419890421931502"/>
    <x v="1"/>
  </r>
  <r>
    <d v="2023-02-21T00:00:00"/>
    <n v="131"/>
    <n v="71"/>
    <n v="35"/>
    <n v="83.460808678675903"/>
    <n v="56"/>
    <n v="39374.3243796561"/>
    <n v="5817.2534574677802"/>
    <n v="16"/>
    <n v="61.620180226856803"/>
    <n v="4.3891908545065697"/>
    <x v="1"/>
  </r>
  <r>
    <d v="2023-02-22T00:00:00"/>
    <n v="117"/>
    <n v="70"/>
    <n v="29"/>
    <n v="77.126323926229801"/>
    <n v="69"/>
    <n v="28577.203677174799"/>
    <n v="9583.0064152865598"/>
    <n v="19"/>
    <n v="68.7995307263174"/>
    <n v="4.4579621233116304"/>
    <x v="1"/>
  </r>
  <r>
    <d v="2023-02-23T00:00:00"/>
    <n v="105"/>
    <n v="70"/>
    <n v="41"/>
    <n v="81.197553748880196"/>
    <n v="63"/>
    <n v="44478.408169058501"/>
    <n v="9846.9628713004695"/>
    <n v="17"/>
    <n v="85.605645495840506"/>
    <n v="4.7233818075746896"/>
    <x v="1"/>
  </r>
  <r>
    <d v="2023-02-24T00:00:00"/>
    <n v="143"/>
    <n v="68"/>
    <n v="32"/>
    <n v="76.818088817894505"/>
    <n v="58"/>
    <n v="45841.099890903002"/>
    <n v="6657.7454016327501"/>
    <n v="12"/>
    <n v="78.308854010701097"/>
    <n v="3.5481431786843798"/>
    <x v="1"/>
  </r>
  <r>
    <d v="2023-02-25T00:00:00"/>
    <n v="121"/>
    <n v="72"/>
    <n v="41"/>
    <n v="72.195877713053306"/>
    <n v="64"/>
    <n v="45395.430160708303"/>
    <n v="14456.9814700028"/>
    <n v="16"/>
    <n v="52.488129046588099"/>
    <n v="4.6141418077334002"/>
    <x v="1"/>
  </r>
  <r>
    <d v="2023-02-26T00:00:00"/>
    <n v="116"/>
    <n v="80"/>
    <n v="32"/>
    <n v="88.103457801441294"/>
    <n v="52"/>
    <n v="47567.796009186597"/>
    <n v="13499.7537148066"/>
    <n v="9"/>
    <n v="55.892121771158799"/>
    <n v="3.3904812059129799"/>
    <x v="1"/>
  </r>
  <r>
    <d v="2023-02-27T00:00:00"/>
    <n v="149"/>
    <n v="83"/>
    <n v="25"/>
    <n v="90.046383956650402"/>
    <n v="51"/>
    <n v="27567.230605200799"/>
    <n v="11690.223373291001"/>
    <n v="14"/>
    <n v="50.313663630876597"/>
    <n v="3.6906839044897701"/>
    <x v="1"/>
  </r>
  <r>
    <d v="2023-02-28T00:00:00"/>
    <n v="120"/>
    <n v="62"/>
    <n v="25"/>
    <n v="88.584710380288399"/>
    <n v="51"/>
    <n v="42651.257862388302"/>
    <n v="9622.9556100060709"/>
    <n v="10"/>
    <n v="75.236871609166499"/>
    <n v="3.6712209085396799"/>
    <x v="1"/>
  </r>
  <r>
    <d v="2023-03-01T00:00:00"/>
    <n v="113"/>
    <n v="89"/>
    <n v="35"/>
    <n v="83.904821314017099"/>
    <n v="52"/>
    <n v="33816.1849182242"/>
    <n v="9117.6554158450799"/>
    <n v="18"/>
    <n v="67.906937016416705"/>
    <n v="4.9570509367782796"/>
    <x v="2"/>
  </r>
  <r>
    <d v="2023-03-02T00:00:00"/>
    <n v="123"/>
    <n v="71"/>
    <n v="28"/>
    <n v="81.393573405376898"/>
    <n v="67"/>
    <n v="45259.956586701803"/>
    <n v="11509.734671509499"/>
    <n v="8"/>
    <n v="55.370994036090998"/>
    <n v="4.7130744474958499"/>
    <x v="2"/>
  </r>
  <r>
    <d v="2023-03-03T00:00:00"/>
    <n v="96"/>
    <n v="77"/>
    <n v="33"/>
    <n v="95.900009487154705"/>
    <n v="63"/>
    <n v="41854.720314848397"/>
    <n v="10454.318694068999"/>
    <n v="23"/>
    <n v="88.317364842270806"/>
    <n v="4.4023397231805097"/>
    <x v="2"/>
  </r>
  <r>
    <d v="2023-03-04T00:00:00"/>
    <n v="137"/>
    <n v="83"/>
    <n v="36"/>
    <n v="85.572453554086493"/>
    <n v="69"/>
    <n v="43293.423394991703"/>
    <n v="5622.7310588188502"/>
    <n v="17"/>
    <n v="71.186388957824704"/>
    <n v="4.45411352323078"/>
    <x v="2"/>
  </r>
  <r>
    <d v="2023-03-05T00:00:00"/>
    <n v="107"/>
    <n v="79"/>
    <n v="25"/>
    <n v="84.3754563288919"/>
    <n v="67"/>
    <n v="39684.855130432101"/>
    <n v="10125.026487703301"/>
    <n v="16"/>
    <n v="59.675731764515497"/>
    <n v="4.1241455888051402"/>
    <x v="2"/>
  </r>
  <r>
    <d v="2023-03-06T00:00:00"/>
    <n v="126"/>
    <n v="56"/>
    <n v="31"/>
    <n v="70.769261974193"/>
    <n v="59"/>
    <n v="25322.863084091201"/>
    <n v="13064.0361723283"/>
    <n v="16"/>
    <n v="70.024142846188298"/>
    <n v="4.8941813342170297"/>
    <x v="2"/>
  </r>
  <r>
    <d v="2023-03-07T00:00:00"/>
    <n v="111"/>
    <n v="80"/>
    <n v="26"/>
    <n v="80.2374348287846"/>
    <n v="51"/>
    <n v="36350.807566908101"/>
    <n v="9592.3987759695792"/>
    <n v="18"/>
    <n v="77.184813309404305"/>
    <n v="3.9925175057647202"/>
    <x v="2"/>
  </r>
  <r>
    <d v="2023-03-08T00:00:00"/>
    <n v="116"/>
    <n v="67"/>
    <n v="33"/>
    <n v="81.405868563575694"/>
    <n v="50"/>
    <n v="49540.0921857352"/>
    <n v="5519.5657755426801"/>
    <n v="21"/>
    <n v="53.049568718942503"/>
    <n v="3.76103541973978"/>
    <x v="2"/>
  </r>
  <r>
    <d v="2023-03-09T00:00:00"/>
    <n v="124"/>
    <n v="81"/>
    <n v="21"/>
    <n v="81.964683426907001"/>
    <n v="53"/>
    <n v="48121.641994913502"/>
    <n v="12862.781993840301"/>
    <n v="15"/>
    <n v="60.988152601915601"/>
    <n v="3.32607067386318"/>
    <x v="2"/>
  </r>
  <r>
    <d v="2023-03-10T00:00:00"/>
    <n v="102"/>
    <n v="74"/>
    <n v="28"/>
    <n v="87.405171076819897"/>
    <n v="63"/>
    <n v="21295.212073910301"/>
    <n v="7013.63782135974"/>
    <n v="12"/>
    <n v="82.278619635359703"/>
    <n v="4.5724113045221104"/>
    <x v="2"/>
  </r>
  <r>
    <d v="2023-03-11T00:00:00"/>
    <n v="114"/>
    <n v="72"/>
    <n v="34"/>
    <n v="86.008076401806306"/>
    <n v="50"/>
    <n v="24944.4444718831"/>
    <n v="7586.2083488803801"/>
    <n v="16"/>
    <n v="68.386594816106395"/>
    <n v="4.4688878641511796"/>
    <x v="2"/>
  </r>
  <r>
    <d v="2023-03-12T00:00:00"/>
    <n v="126"/>
    <n v="68"/>
    <n v="21"/>
    <n v="88.237152783803296"/>
    <n v="63"/>
    <n v="23951.8632036368"/>
    <n v="6647.0635343229496"/>
    <n v="10"/>
    <n v="71.863085681291693"/>
    <n v="3.7687100770482602"/>
    <x v="2"/>
  </r>
  <r>
    <d v="2023-03-13T00:00:00"/>
    <n v="120"/>
    <n v="82"/>
    <n v="33"/>
    <n v="92.946497846263796"/>
    <n v="65"/>
    <n v="41779.397299558797"/>
    <n v="8302.1506487149709"/>
    <n v="13"/>
    <n v="67.3126400883787"/>
    <n v="3.0503868279184498"/>
    <x v="2"/>
  </r>
  <r>
    <d v="2023-03-14T00:00:00"/>
    <n v="125"/>
    <n v="88"/>
    <n v="37"/>
    <n v="94.389572161482803"/>
    <n v="63"/>
    <n v="44533.559895708298"/>
    <n v="12567.515056886299"/>
    <n v="17"/>
    <n v="51.755997705720198"/>
    <n v="4.6779946554360201"/>
    <x v="2"/>
  </r>
  <r>
    <d v="2023-03-15T00:00:00"/>
    <n v="126"/>
    <n v="65"/>
    <n v="30"/>
    <n v="91.543692286794794"/>
    <n v="69"/>
    <n v="26405.340989320099"/>
    <n v="10193.858595039301"/>
    <n v="17"/>
    <n v="56.629991192806202"/>
    <n v="3.0228359669081399"/>
    <x v="2"/>
  </r>
  <r>
    <d v="2023-03-16T00:00:00"/>
    <n v="141"/>
    <n v="82"/>
    <n v="36"/>
    <n v="98.665710878647999"/>
    <n v="52"/>
    <n v="35175.580788554798"/>
    <n v="7048.8127415071203"/>
    <n v="13"/>
    <n v="67.8216655496756"/>
    <n v="4.4073995592581001"/>
    <x v="2"/>
  </r>
  <r>
    <d v="2023-03-17T00:00:00"/>
    <n v="115"/>
    <n v="78"/>
    <n v="33"/>
    <n v="70.546977480290806"/>
    <n v="52"/>
    <n v="45221.090840336001"/>
    <n v="13778.3007815204"/>
    <n v="14"/>
    <n v="58.367418616317103"/>
    <n v="4.9405142194521101"/>
    <x v="2"/>
  </r>
  <r>
    <d v="2023-03-18T00:00:00"/>
    <n v="139"/>
    <n v="74"/>
    <n v="26"/>
    <n v="75.873339570506303"/>
    <n v="58"/>
    <n v="41984.046342987502"/>
    <n v="13795.818549515199"/>
    <n v="21"/>
    <n v="51.999161146387102"/>
    <n v="3.8753226562964"/>
    <x v="2"/>
  </r>
  <r>
    <d v="2023-03-19T00:00:00"/>
    <n v="112"/>
    <n v="84"/>
    <n v="35"/>
    <n v="70.226886249344204"/>
    <n v="55"/>
    <n v="36267.116164755404"/>
    <n v="13705.784250459999"/>
    <n v="13"/>
    <n v="83.7459865620729"/>
    <n v="3.4699468099919"/>
    <x v="2"/>
  </r>
  <r>
    <d v="2023-03-20T00:00:00"/>
    <n v="131"/>
    <n v="83"/>
    <n v="33"/>
    <n v="89.424241424638097"/>
    <n v="62"/>
    <n v="37710.430713763097"/>
    <n v="7387.9621138153898"/>
    <n v="13"/>
    <n v="89.247701166564596"/>
    <n v="4.4097420200867603"/>
    <x v="2"/>
  </r>
  <r>
    <d v="2023-03-21T00:00:00"/>
    <n v="121"/>
    <n v="66"/>
    <n v="33"/>
    <n v="96.940916468499594"/>
    <n v="51"/>
    <n v="35250.816407488397"/>
    <n v="9512.3934418098797"/>
    <n v="17"/>
    <n v="81.725714959869507"/>
    <n v="4.6342562840311698"/>
    <x v="2"/>
  </r>
  <r>
    <d v="2023-03-22T00:00:00"/>
    <n v="103"/>
    <n v="73"/>
    <n v="32"/>
    <n v="77.304468897288899"/>
    <n v="57"/>
    <n v="28926.453539564602"/>
    <n v="14849.896561408699"/>
    <n v="13"/>
    <n v="84.151396868186595"/>
    <n v="4.0928606321556904"/>
    <x v="2"/>
  </r>
  <r>
    <d v="2023-03-23T00:00:00"/>
    <n v="137"/>
    <n v="71"/>
    <n v="24"/>
    <n v="97.811036343889199"/>
    <n v="51"/>
    <n v="36950.659785770396"/>
    <n v="12720.124763099901"/>
    <n v="14"/>
    <n v="59.679085212681798"/>
    <n v="4.9340705505122902"/>
    <x v="2"/>
  </r>
  <r>
    <d v="2023-03-24T00:00:00"/>
    <n v="115"/>
    <n v="65"/>
    <n v="37"/>
    <n v="71.808021708686795"/>
    <n v="53"/>
    <n v="40666.559061502703"/>
    <n v="5271.6742122555897"/>
    <n v="21"/>
    <n v="88.425079020527903"/>
    <n v="3.1033374433159202"/>
    <x v="2"/>
  </r>
  <r>
    <d v="2023-03-25T00:00:00"/>
    <n v="127"/>
    <n v="78"/>
    <n v="36"/>
    <n v="98.033080804165394"/>
    <n v="64"/>
    <n v="46199.687475824197"/>
    <n v="5652.04591260492"/>
    <n v="10"/>
    <n v="57.877028178137103"/>
    <n v="4.0095911966090503"/>
    <x v="2"/>
  </r>
  <r>
    <d v="2023-03-26T00:00:00"/>
    <n v="135"/>
    <n v="67"/>
    <n v="27"/>
    <n v="80.548680617189007"/>
    <n v="53"/>
    <n v="39088.7406193774"/>
    <n v="9639.3137681233202"/>
    <n v="17"/>
    <n v="88.057192414473207"/>
    <n v="4.4369078946450999"/>
    <x v="2"/>
  </r>
  <r>
    <d v="2023-03-27T00:00:00"/>
    <n v="125"/>
    <n v="89"/>
    <n v="24"/>
    <n v="73.042624853476497"/>
    <n v="62"/>
    <n v="42833.6461112947"/>
    <n v="14092.2020586156"/>
    <n v="13"/>
    <n v="89.792771758637997"/>
    <n v="4.7252809422983502"/>
    <x v="2"/>
  </r>
  <r>
    <d v="2023-03-28T00:00:00"/>
    <n v="108"/>
    <n v="70"/>
    <n v="36"/>
    <n v="84.576152775589705"/>
    <n v="61"/>
    <n v="24802.1490486371"/>
    <n v="10387.0179795271"/>
    <n v="14"/>
    <n v="78.468912229841905"/>
    <n v="3.3585112238155799"/>
    <x v="2"/>
  </r>
  <r>
    <d v="2023-03-29T00:00:00"/>
    <n v="123"/>
    <n v="96"/>
    <n v="32"/>
    <n v="77.703297031615193"/>
    <n v="62"/>
    <n v="33846.724232593697"/>
    <n v="9978.1250803428993"/>
    <n v="17"/>
    <n v="89.245749271672807"/>
    <n v="4.6000069635273597"/>
    <x v="2"/>
  </r>
  <r>
    <d v="2023-03-30T00:00:00"/>
    <n v="103"/>
    <n v="82"/>
    <n v="32"/>
    <n v="78.546187058857598"/>
    <n v="63"/>
    <n v="20279.948594812799"/>
    <n v="6054.7369995663003"/>
    <n v="13"/>
    <n v="72.781591182684096"/>
    <n v="4.1054141514370901"/>
    <x v="2"/>
  </r>
  <r>
    <d v="2023-03-31T00:00:00"/>
    <n v="121"/>
    <n v="88"/>
    <n v="35"/>
    <n v="79.218698947788596"/>
    <n v="69"/>
    <n v="27400.365935648599"/>
    <n v="11567.8010472429"/>
    <n v="17"/>
    <n v="60.381671327043598"/>
    <n v="3.79310736397992"/>
    <x v="2"/>
  </r>
  <r>
    <d v="2023-04-01T00:00:00"/>
    <n v="125"/>
    <n v="75"/>
    <n v="34"/>
    <n v="94.0907769349799"/>
    <n v="67"/>
    <n v="41793.851453390103"/>
    <n v="13221.0316060022"/>
    <n v="15"/>
    <n v="67.479835426624803"/>
    <n v="3.26343005715818"/>
    <x v="3"/>
  </r>
  <r>
    <d v="2023-04-02T00:00:00"/>
    <n v="127"/>
    <n v="80"/>
    <n v="44"/>
    <n v="86.174838300257605"/>
    <n v="55"/>
    <n v="49754.298540480901"/>
    <n v="8804.2000750756197"/>
    <n v="14"/>
    <n v="73.7424374151514"/>
    <n v="4.7305915178178202"/>
    <x v="3"/>
  </r>
  <r>
    <d v="2023-04-03T00:00:00"/>
    <n v="114"/>
    <n v="67"/>
    <n v="22"/>
    <n v="79.339230974680106"/>
    <n v="60"/>
    <n v="22975.342987616401"/>
    <n v="12756.1185092532"/>
    <n v="10"/>
    <n v="52.923262481080599"/>
    <n v="3.31454641635943"/>
    <x v="3"/>
  </r>
  <r>
    <d v="2023-04-04T00:00:00"/>
    <n v="125"/>
    <n v="74"/>
    <n v="33"/>
    <n v="88.310013499327496"/>
    <n v="51"/>
    <n v="32044.8294758386"/>
    <n v="14644.7665390081"/>
    <n v="18"/>
    <n v="74.893730584689806"/>
    <n v="3.61957571841819"/>
    <x v="3"/>
  </r>
  <r>
    <d v="2023-04-05T00:00:00"/>
    <n v="125"/>
    <n v="69"/>
    <n v="27"/>
    <n v="91.484520226695807"/>
    <n v="68"/>
    <n v="44002.129060974701"/>
    <n v="7037.66459127689"/>
    <n v="13"/>
    <n v="89.247113470491698"/>
    <n v="3.5800910639248702"/>
    <x v="3"/>
  </r>
  <r>
    <d v="2023-04-06T00:00:00"/>
    <n v="103"/>
    <n v="81"/>
    <n v="20"/>
    <n v="78.178720022006004"/>
    <n v="68"/>
    <n v="26121.069038866899"/>
    <n v="10233.296311947401"/>
    <n v="16"/>
    <n v="57.604305991349101"/>
    <n v="4.7428280683816997"/>
    <x v="3"/>
  </r>
  <r>
    <d v="2023-04-07T00:00:00"/>
    <n v="112"/>
    <n v="76"/>
    <n v="27"/>
    <n v="82.406473045760507"/>
    <n v="54"/>
    <n v="36652.5484790685"/>
    <n v="7871.3795808457498"/>
    <n v="25"/>
    <n v="81.703804651535293"/>
    <n v="4.3454059884177898"/>
    <x v="3"/>
  </r>
  <r>
    <d v="2023-04-08T00:00:00"/>
    <n v="136"/>
    <n v="75"/>
    <n v="34"/>
    <n v="73.656582800108396"/>
    <n v="68"/>
    <n v="41992.138880890197"/>
    <n v="12928.5441903383"/>
    <n v="14"/>
    <n v="86.315951751184699"/>
    <n v="4.59336279438274"/>
    <x v="3"/>
  </r>
  <r>
    <d v="2023-04-09T00:00:00"/>
    <n v="130"/>
    <n v="73"/>
    <n v="34"/>
    <n v="75.4344804860404"/>
    <n v="51"/>
    <n v="38479.563507805302"/>
    <n v="10775.9336588115"/>
    <n v="15"/>
    <n v="87.748063712808801"/>
    <n v="3.5009357975849902"/>
    <x v="3"/>
  </r>
  <r>
    <d v="2023-04-10T00:00:00"/>
    <n v="122"/>
    <n v="87"/>
    <n v="30"/>
    <n v="90.433535618949406"/>
    <n v="59"/>
    <n v="25640.742038462398"/>
    <n v="11345.824175502999"/>
    <n v="16"/>
    <n v="88.405424176217807"/>
    <n v="4.2497481992139896"/>
    <x v="3"/>
  </r>
  <r>
    <d v="2023-04-11T00:00:00"/>
    <n v="109"/>
    <n v="79"/>
    <n v="33"/>
    <n v="75.443150430868798"/>
    <n v="51"/>
    <n v="30661.5370605721"/>
    <n v="12979.141596158899"/>
    <n v="14"/>
    <n v="70.858385548858806"/>
    <n v="4.1434919662874901"/>
    <x v="3"/>
  </r>
  <r>
    <d v="2023-04-12T00:00:00"/>
    <n v="113"/>
    <n v="76"/>
    <n v="29"/>
    <n v="85.754901510011805"/>
    <n v="60"/>
    <n v="43513.753534561904"/>
    <n v="8959.7047266245499"/>
    <n v="12"/>
    <n v="89.0923163196601"/>
    <n v="4.6656607535765398"/>
    <x v="3"/>
  </r>
  <r>
    <d v="2023-04-13T00:00:00"/>
    <n v="125"/>
    <n v="68"/>
    <n v="24"/>
    <n v="91.271387851672898"/>
    <n v="67"/>
    <n v="36626.795423960502"/>
    <n v="14150.900684070401"/>
    <n v="7"/>
    <n v="80.292408285377505"/>
    <n v="4.8121741209625197"/>
    <x v="3"/>
  </r>
  <r>
    <d v="2023-04-14T00:00:00"/>
    <n v="138"/>
    <n v="98"/>
    <n v="33"/>
    <n v="73.206307692842302"/>
    <n v="64"/>
    <n v="20156.8884062873"/>
    <n v="10330.2886724614"/>
    <n v="16"/>
    <n v="56.466857449478397"/>
    <n v="3.0243135429547698"/>
    <x v="3"/>
  </r>
  <r>
    <d v="2023-04-15T00:00:00"/>
    <n v="118"/>
    <n v="63"/>
    <n v="21"/>
    <n v="87.019366588867101"/>
    <n v="58"/>
    <n v="42829.722800842799"/>
    <n v="6579.5482283534802"/>
    <n v="16"/>
    <n v="69.076004258718797"/>
    <n v="4.3480398381175798"/>
    <x v="3"/>
  </r>
  <r>
    <d v="2023-04-16T00:00:00"/>
    <n v="113"/>
    <n v="82"/>
    <n v="32"/>
    <n v="77.696883511040895"/>
    <n v="68"/>
    <n v="21059.3406482071"/>
    <n v="11958.991181687999"/>
    <n v="14"/>
    <n v="78.733247014880106"/>
    <n v="3.1036715982394498"/>
    <x v="3"/>
  </r>
  <r>
    <d v="2023-04-17T00:00:00"/>
    <n v="133"/>
    <n v="69"/>
    <n v="42"/>
    <n v="98.887806257127394"/>
    <n v="58"/>
    <n v="42372.013481936898"/>
    <n v="12932.6135043825"/>
    <n v="15"/>
    <n v="59.8936126327633"/>
    <n v="4.0977173301547101"/>
    <x v="3"/>
  </r>
  <r>
    <d v="2023-04-18T00:00:00"/>
    <n v="108"/>
    <n v="71"/>
    <n v="29"/>
    <n v="84.506369401597695"/>
    <n v="52"/>
    <n v="26074.416804957102"/>
    <n v="8167.6167706752603"/>
    <n v="16"/>
    <n v="75.624607341955496"/>
    <n v="3.5752654580873502"/>
    <x v="3"/>
  </r>
  <r>
    <d v="2023-04-19T00:00:00"/>
    <n v="141"/>
    <n v="70"/>
    <n v="29"/>
    <n v="94.179776493254707"/>
    <n v="58"/>
    <n v="48742.204403581403"/>
    <n v="13571.7925699875"/>
    <n v="16"/>
    <n v="76.664019161864701"/>
    <n v="3.6135531990442802"/>
    <x v="3"/>
  </r>
  <r>
    <d v="2023-04-20T00:00:00"/>
    <n v="122"/>
    <n v="84"/>
    <n v="28"/>
    <n v="86.506796264687793"/>
    <n v="63"/>
    <n v="31038.222539062499"/>
    <n v="14061.4325476576"/>
    <n v="14"/>
    <n v="56.507989752342603"/>
    <n v="3.70591700690471"/>
    <x v="3"/>
  </r>
  <r>
    <d v="2023-04-21T00:00:00"/>
    <n v="106"/>
    <n v="76"/>
    <n v="38"/>
    <n v="71.302375985644503"/>
    <n v="68"/>
    <n v="29807.948490142298"/>
    <n v="7769.0448737780898"/>
    <n v="15"/>
    <n v="72.603412498110202"/>
    <n v="4.2425848980992198"/>
    <x v="3"/>
  </r>
  <r>
    <d v="2023-04-22T00:00:00"/>
    <n v="135"/>
    <n v="77"/>
    <n v="25"/>
    <n v="88.994541267820594"/>
    <n v="56"/>
    <n v="24466.641509973299"/>
    <n v="14835.214727152201"/>
    <n v="21"/>
    <n v="80.865076439144303"/>
    <n v="3.66809993133753"/>
    <x v="3"/>
  </r>
  <r>
    <d v="2023-04-23T00:00:00"/>
    <n v="126"/>
    <n v="78"/>
    <n v="32"/>
    <n v="98.542100266199697"/>
    <n v="65"/>
    <n v="29168.126464706402"/>
    <n v="6407.1152804875801"/>
    <n v="15"/>
    <n v="69.955826581437606"/>
    <n v="4.4653981011805604"/>
    <x v="3"/>
  </r>
  <r>
    <d v="2023-04-24T00:00:00"/>
    <n v="115"/>
    <n v="79"/>
    <n v="37"/>
    <n v="88.0483546043899"/>
    <n v="65"/>
    <n v="46299.522854846"/>
    <n v="7020.1566840248997"/>
    <n v="10"/>
    <n v="50.484124671044299"/>
    <n v="3.8090547711477298"/>
    <x v="3"/>
  </r>
  <r>
    <d v="2023-04-25T00:00:00"/>
    <n v="131"/>
    <n v="87"/>
    <n v="46"/>
    <n v="94.575665782803696"/>
    <n v="50"/>
    <n v="49890.030128817401"/>
    <n v="6842.2483923802602"/>
    <n v="10"/>
    <n v="50.361538763171602"/>
    <n v="3.1367064006199099"/>
    <x v="3"/>
  </r>
  <r>
    <d v="2023-04-26T00:00:00"/>
    <n v="120"/>
    <n v="77"/>
    <n v="37"/>
    <n v="96.526193900452199"/>
    <n v="53"/>
    <n v="31049.285915205401"/>
    <n v="13939.897100078701"/>
    <n v="23"/>
    <n v="64.281173758800406"/>
    <n v="4.56751968496821"/>
    <x v="3"/>
  </r>
  <r>
    <d v="2023-04-27T00:00:00"/>
    <n v="130"/>
    <n v="94"/>
    <n v="34"/>
    <n v="76.8423931584679"/>
    <n v="53"/>
    <n v="33458.318928636203"/>
    <n v="11542.9255232496"/>
    <n v="15"/>
    <n v="87.047762737271199"/>
    <n v="3.5715166491854098"/>
    <x v="3"/>
  </r>
  <r>
    <d v="2023-04-28T00:00:00"/>
    <n v="127"/>
    <n v="83"/>
    <n v="23"/>
    <n v="76.361345197246806"/>
    <n v="56"/>
    <n v="41662.128146082097"/>
    <n v="6521.0428322227199"/>
    <n v="16"/>
    <n v="59.147071184144302"/>
    <n v="3.8655337591985202"/>
    <x v="3"/>
  </r>
  <r>
    <d v="2023-04-29T00:00:00"/>
    <n v="136"/>
    <n v="69"/>
    <n v="39"/>
    <n v="88.329429665529702"/>
    <n v="57"/>
    <n v="46585.873413952198"/>
    <n v="9403.2341836834894"/>
    <n v="12"/>
    <n v="75.374547554867405"/>
    <n v="4.3708877664437997"/>
    <x v="3"/>
  </r>
  <r>
    <d v="2023-04-30T00:00:00"/>
    <n v="116"/>
    <n v="83"/>
    <n v="35"/>
    <n v="82.330854094201101"/>
    <n v="66"/>
    <n v="37791.3300256035"/>
    <n v="11152.980250698"/>
    <n v="18"/>
    <n v="58.8830348277328"/>
    <n v="3.6649123142974198"/>
    <x v="3"/>
  </r>
  <r>
    <d v="2023-05-01T00:00:00"/>
    <n v="122"/>
    <n v="93"/>
    <n v="22"/>
    <n v="95.195839086001598"/>
    <n v="54"/>
    <n v="31745.7709453348"/>
    <n v="5834.6408498938299"/>
    <n v="15"/>
    <n v="62.866799586381902"/>
    <n v="3.1131713122934301"/>
    <x v="4"/>
  </r>
  <r>
    <d v="2023-05-02T00:00:00"/>
    <n v="119"/>
    <n v="69"/>
    <n v="33"/>
    <n v="97.000693701940307"/>
    <n v="56"/>
    <n v="32378.6552254587"/>
    <n v="13824.163684073301"/>
    <n v="16"/>
    <n v="83.921683584059295"/>
    <n v="3.7478420940256201"/>
    <x v="4"/>
  </r>
  <r>
    <d v="2023-05-03T00:00:00"/>
    <n v="113"/>
    <n v="73"/>
    <n v="25"/>
    <n v="80.602641379081504"/>
    <n v="69"/>
    <n v="40868.544394904202"/>
    <n v="13036.0353544153"/>
    <n v="19"/>
    <n v="79.154457690797798"/>
    <n v="4.8888971653885998"/>
    <x v="4"/>
  </r>
  <r>
    <d v="2023-05-04T00:00:00"/>
    <n v="86"/>
    <n v="87"/>
    <n v="19"/>
    <n v="77.106116769234404"/>
    <n v="69"/>
    <n v="20096.547908128301"/>
    <n v="10052.067735766301"/>
    <n v="11"/>
    <n v="53.8159710925284"/>
    <n v="4.2834687945971099"/>
    <x v="4"/>
  </r>
  <r>
    <d v="2023-05-05T00:00:00"/>
    <n v="132"/>
    <n v="76"/>
    <n v="26"/>
    <n v="93.4157654573158"/>
    <n v="53"/>
    <n v="38587.680123795202"/>
    <n v="14671.266152591699"/>
    <n v="20"/>
    <n v="67.148080839457293"/>
    <n v="4.3429582973344099"/>
    <x v="4"/>
  </r>
  <r>
    <d v="2023-05-06T00:00:00"/>
    <n v="105"/>
    <n v="67"/>
    <n v="27"/>
    <n v="78.244181066444"/>
    <n v="55"/>
    <n v="30664.790313240701"/>
    <n v="9177.6097927509909"/>
    <n v="14"/>
    <n v="51.1667905458105"/>
    <n v="4.2645643072752799"/>
    <x v="4"/>
  </r>
  <r>
    <d v="2023-05-07T00:00:00"/>
    <n v="129"/>
    <n v="68"/>
    <n v="28"/>
    <n v="94.678429555410304"/>
    <n v="56"/>
    <n v="43825.919938312501"/>
    <n v="14841.1031903649"/>
    <n v="17"/>
    <n v="69.235605864120302"/>
    <n v="3.3979842779188698"/>
    <x v="4"/>
  </r>
  <r>
    <d v="2023-05-08T00:00:00"/>
    <n v="124"/>
    <n v="88"/>
    <n v="32"/>
    <n v="82.712147609462804"/>
    <n v="67"/>
    <n v="22789.719194693898"/>
    <n v="11679.1999880362"/>
    <n v="17"/>
    <n v="76.4973604680427"/>
    <n v="3.83666772820456"/>
    <x v="4"/>
  </r>
  <r>
    <d v="2023-05-09T00:00:00"/>
    <n v="96"/>
    <n v="72"/>
    <n v="33"/>
    <n v="90.026496978744106"/>
    <n v="54"/>
    <n v="37646.068008451701"/>
    <n v="11346.712732539399"/>
    <n v="12"/>
    <n v="54.740104943925999"/>
    <n v="4.5018795967266296"/>
    <x v="4"/>
  </r>
  <r>
    <d v="2023-05-10T00:00:00"/>
    <n v="121"/>
    <n v="86"/>
    <n v="35"/>
    <n v="72.866059415039999"/>
    <n v="69"/>
    <n v="34429.186696583703"/>
    <n v="6659.5489529578499"/>
    <n v="19"/>
    <n v="61.5553975563666"/>
    <n v="3.2027457951063099"/>
    <x v="4"/>
  </r>
  <r>
    <d v="2023-05-11T00:00:00"/>
    <n v="120"/>
    <n v="85"/>
    <n v="30"/>
    <n v="88.715779740297194"/>
    <n v="52"/>
    <n v="39269.765777156797"/>
    <n v="13819.2775830464"/>
    <n v="17"/>
    <n v="65.913465020086207"/>
    <n v="3.5557055521794201"/>
    <x v="4"/>
  </r>
  <r>
    <d v="2023-05-12T00:00:00"/>
    <n v="130"/>
    <n v="73"/>
    <n v="23"/>
    <n v="83.5530303621168"/>
    <n v="56"/>
    <n v="21945.607834489001"/>
    <n v="9274.8968792061496"/>
    <n v="12"/>
    <n v="86.781240986241897"/>
    <n v="3.5526382169317001"/>
    <x v="4"/>
  </r>
  <r>
    <d v="2023-05-13T00:00:00"/>
    <n v="118"/>
    <n v="71"/>
    <n v="32"/>
    <n v="87.598253895264193"/>
    <n v="63"/>
    <n v="37399.513622843901"/>
    <n v="6622.3340578247899"/>
    <n v="18"/>
    <n v="89.730200616918495"/>
    <n v="3.86403785518901"/>
    <x v="4"/>
  </r>
  <r>
    <d v="2023-05-14T00:00:00"/>
    <n v="132"/>
    <n v="82"/>
    <n v="31"/>
    <n v="75.040426232345894"/>
    <n v="56"/>
    <n v="36844.537638785703"/>
    <n v="5126.0751997575899"/>
    <n v="18"/>
    <n v="51.796451959824601"/>
    <n v="4.9607374818843697"/>
    <x v="4"/>
  </r>
  <r>
    <d v="2023-05-15T00:00:00"/>
    <n v="117"/>
    <n v="79"/>
    <n v="27"/>
    <n v="92.1062123483254"/>
    <n v="54"/>
    <n v="36819.802832485097"/>
    <n v="10597.556836383799"/>
    <n v="17"/>
    <n v="80.440316939815602"/>
    <n v="3.1350050933676399"/>
    <x v="4"/>
  </r>
  <r>
    <d v="2023-05-16T00:00:00"/>
    <n v="107"/>
    <n v="69"/>
    <n v="21"/>
    <n v="95.883912326296795"/>
    <n v="54"/>
    <n v="38104.6299978936"/>
    <n v="10273.9962212267"/>
    <n v="20"/>
    <n v="64.8689626560937"/>
    <n v="4.0374019887611903"/>
    <x v="4"/>
  </r>
  <r>
    <d v="2023-05-17T00:00:00"/>
    <n v="121"/>
    <n v="80"/>
    <n v="14"/>
    <n v="76.502194002723201"/>
    <n v="51"/>
    <n v="40294.038116790798"/>
    <n v="12193.536223691501"/>
    <n v="9"/>
    <n v="65.698327449179203"/>
    <n v="3.3587293640244198"/>
    <x v="4"/>
  </r>
  <r>
    <d v="2023-05-18T00:00:00"/>
    <n v="125"/>
    <n v="97"/>
    <n v="28"/>
    <n v="72.871436665604804"/>
    <n v="55"/>
    <n v="44149.669990422997"/>
    <n v="13902.580530178"/>
    <n v="8"/>
    <n v="80.170598933880896"/>
    <n v="4.9413530908194803"/>
    <x v="4"/>
  </r>
  <r>
    <d v="2023-05-19T00:00:00"/>
    <n v="122"/>
    <n v="86"/>
    <n v="31"/>
    <n v="70.709157581390002"/>
    <n v="64"/>
    <n v="28094.621603846401"/>
    <n v="5794.0658464302896"/>
    <n v="14"/>
    <n v="86.737057285816306"/>
    <n v="3.22660700945492"/>
    <x v="4"/>
  </r>
  <r>
    <d v="2023-05-20T00:00:00"/>
    <n v="117"/>
    <n v="82"/>
    <n v="35"/>
    <n v="89.259145013297896"/>
    <n v="59"/>
    <n v="44751.482305401798"/>
    <n v="12314.964903403599"/>
    <n v="13"/>
    <n v="88.0371437801019"/>
    <n v="3.8072020047231798"/>
    <x v="4"/>
  </r>
  <r>
    <d v="2023-05-21T00:00:00"/>
    <n v="115"/>
    <n v="78"/>
    <n v="24"/>
    <n v="88.212821082663396"/>
    <n v="56"/>
    <n v="34947.670467903597"/>
    <n v="6874.11944097582"/>
    <n v="15"/>
    <n v="73.084903441532802"/>
    <n v="4.4757699696692104"/>
    <x v="4"/>
  </r>
  <r>
    <d v="2023-05-22T00:00:00"/>
    <n v="94"/>
    <n v="79"/>
    <n v="32"/>
    <n v="86.400922381422106"/>
    <n v="54"/>
    <n v="22311.748374029899"/>
    <n v="13581.770531571599"/>
    <n v="8"/>
    <n v="64.284846372020098"/>
    <n v="4.4091088560548899"/>
    <x v="4"/>
  </r>
  <r>
    <d v="2023-05-23T00:00:00"/>
    <n v="133"/>
    <n v="92"/>
    <n v="18"/>
    <n v="76.958412883479198"/>
    <n v="50"/>
    <n v="21756.527877319299"/>
    <n v="13190.635138616501"/>
    <n v="6"/>
    <n v="81.501963434351097"/>
    <n v="3.8454572737878601"/>
    <x v="4"/>
  </r>
  <r>
    <d v="2023-05-24T00:00:00"/>
    <n v="119"/>
    <n v="82"/>
    <n v="33"/>
    <n v="81.727179877165398"/>
    <n v="62"/>
    <n v="30027.1495608818"/>
    <n v="10407.9375498554"/>
    <n v="14"/>
    <n v="60.040055330492002"/>
    <n v="3.6930483359054298"/>
    <x v="4"/>
  </r>
  <r>
    <d v="2023-05-25T00:00:00"/>
    <n v="120"/>
    <n v="61"/>
    <n v="34"/>
    <n v="87.8342900555852"/>
    <n v="67"/>
    <n v="43546.909313343996"/>
    <n v="12102.4279862331"/>
    <n v="12"/>
    <n v="72.562961153340694"/>
    <n v="3.79522475710574"/>
    <x v="4"/>
  </r>
  <r>
    <d v="2023-05-26T00:00:00"/>
    <n v="108"/>
    <n v="89"/>
    <n v="27"/>
    <n v="84.903005765775006"/>
    <n v="62"/>
    <n v="41230.428042227402"/>
    <n v="8143.50113183748"/>
    <n v="14"/>
    <n v="64.343138460994894"/>
    <n v="3.5285525263172701"/>
    <x v="4"/>
  </r>
  <r>
    <d v="2023-05-27T00:00:00"/>
    <n v="117"/>
    <n v="75"/>
    <n v="31"/>
    <n v="99.633565606446595"/>
    <n v="67"/>
    <n v="43658.4489401721"/>
    <n v="9711.6789893281402"/>
    <n v="13"/>
    <n v="76.265242948315006"/>
    <n v="3.4106658774135901"/>
    <x v="4"/>
  </r>
  <r>
    <d v="2023-05-28T00:00:00"/>
    <n v="124"/>
    <n v="81"/>
    <n v="29"/>
    <n v="74.093192576701995"/>
    <n v="54"/>
    <n v="35518.071693248203"/>
    <n v="13216.368977104699"/>
    <n v="11"/>
    <n v="59.615956515740201"/>
    <n v="3.96607939511778"/>
    <x v="4"/>
  </r>
  <r>
    <d v="2023-05-29T00:00:00"/>
    <n v="116"/>
    <n v="76"/>
    <n v="30"/>
    <n v="90.854336621427805"/>
    <n v="62"/>
    <n v="33205.969938664697"/>
    <n v="9592.6519717321298"/>
    <n v="13"/>
    <n v="57.663717829393001"/>
    <n v="3.5370675121352102"/>
    <x v="4"/>
  </r>
  <r>
    <d v="2023-05-30T00:00:00"/>
    <n v="120"/>
    <n v="86"/>
    <n v="21"/>
    <n v="82.129563043128698"/>
    <n v="53"/>
    <n v="24423.575801188501"/>
    <n v="8577.9826532544103"/>
    <n v="10"/>
    <n v="86.7295634670174"/>
    <n v="3.5749233297944998"/>
    <x v="4"/>
  </r>
  <r>
    <d v="2023-05-31T00:00:00"/>
    <n v="125"/>
    <n v="72"/>
    <n v="26"/>
    <n v="82.845988447768406"/>
    <n v="66"/>
    <n v="29845.7826082793"/>
    <n v="9942.1244725029992"/>
    <n v="15"/>
    <n v="54.072147317981397"/>
    <n v="4.3135121269491101"/>
    <x v="4"/>
  </r>
  <r>
    <d v="2023-06-01T00:00:00"/>
    <n v="100"/>
    <n v="69"/>
    <n v="37"/>
    <n v="91.527932969745194"/>
    <n v="52"/>
    <n v="33020.580985216198"/>
    <n v="13282.492524372101"/>
    <n v="16"/>
    <n v="70.238316309397206"/>
    <n v="4.9370746633997804"/>
    <x v="5"/>
  </r>
  <r>
    <d v="2023-06-02T00:00:00"/>
    <n v="142"/>
    <n v="80"/>
    <n v="24"/>
    <n v="90.773084539731002"/>
    <n v="66"/>
    <n v="22658.012890388502"/>
    <n v="8352.0804737087201"/>
    <n v="8"/>
    <n v="58.8341113185203"/>
    <n v="4.2072744011187497"/>
    <x v="5"/>
  </r>
  <r>
    <d v="2023-06-03T00:00:00"/>
    <n v="116"/>
    <n v="95"/>
    <n v="33"/>
    <n v="99.737679811065604"/>
    <n v="60"/>
    <n v="26618.358581336299"/>
    <n v="6737.6159313574299"/>
    <n v="12"/>
    <n v="51.5571985330267"/>
    <n v="3.1539589341299301"/>
    <x v="5"/>
  </r>
  <r>
    <d v="2023-06-04T00:00:00"/>
    <n v="119"/>
    <n v="82"/>
    <n v="31"/>
    <n v="73.851828683623694"/>
    <n v="69"/>
    <n v="37946.758821912103"/>
    <n v="12120.140203307799"/>
    <n v="16"/>
    <n v="51.440752731657"/>
    <n v="3.1511672277081302"/>
    <x v="5"/>
  </r>
  <r>
    <d v="2023-06-05T00:00:00"/>
    <n v="142"/>
    <n v="69"/>
    <n v="25"/>
    <n v="73.123289481524907"/>
    <n v="53"/>
    <n v="42069.893427175601"/>
    <n v="13259.7821270808"/>
    <n v="10"/>
    <n v="57.008870884232998"/>
    <n v="4.9028464416911302"/>
    <x v="5"/>
  </r>
  <r>
    <d v="2023-06-06T00:00:00"/>
    <n v="109"/>
    <n v="80"/>
    <n v="20"/>
    <n v="91.730164513862206"/>
    <n v="51"/>
    <n v="49950.425341788403"/>
    <n v="6006.3747852353299"/>
    <n v="12"/>
    <n v="84.670814180240001"/>
    <n v="3.5945815806146602"/>
    <x v="5"/>
  </r>
  <r>
    <d v="2023-06-07T00:00:00"/>
    <n v="103"/>
    <n v="63"/>
    <n v="26"/>
    <n v="87.351607510192196"/>
    <n v="69"/>
    <n v="47993.399940306699"/>
    <n v="7398.7411275594404"/>
    <n v="12"/>
    <n v="61.299149759080997"/>
    <n v="3.18413397216495"/>
    <x v="5"/>
  </r>
  <r>
    <d v="2023-06-08T00:00:00"/>
    <n v="103"/>
    <n v="72"/>
    <n v="37"/>
    <n v="78.224819996794096"/>
    <n v="65"/>
    <n v="39276.955986055698"/>
    <n v="6419.7198976099298"/>
    <n v="16"/>
    <n v="88.018366823011803"/>
    <n v="4.19808917430076"/>
    <x v="5"/>
  </r>
  <r>
    <d v="2023-06-09T00:00:00"/>
    <n v="100"/>
    <n v="71"/>
    <n v="34"/>
    <n v="72.382581069669598"/>
    <n v="67"/>
    <n v="32637.441598822101"/>
    <n v="8479.4141158216607"/>
    <n v="18"/>
    <n v="73.2648917195677"/>
    <n v="4.2472975565805298"/>
    <x v="5"/>
  </r>
  <r>
    <d v="2023-06-10T00:00:00"/>
    <n v="133"/>
    <n v="82"/>
    <n v="27"/>
    <n v="72.569747487892897"/>
    <n v="57"/>
    <n v="39085.3209412469"/>
    <n v="9503.5097890541201"/>
    <n v="6"/>
    <n v="67.464567590750605"/>
    <n v="4.2970096402373699"/>
    <x v="5"/>
  </r>
  <r>
    <d v="2023-06-11T00:00:00"/>
    <n v="131"/>
    <n v="88"/>
    <n v="37"/>
    <n v="96.825726239923497"/>
    <n v="52"/>
    <n v="43569.548542406897"/>
    <n v="12488.263369632999"/>
    <n v="17"/>
    <n v="73.203553386778097"/>
    <n v="3.5348040557150799"/>
    <x v="5"/>
  </r>
  <r>
    <d v="2023-06-12T00:00:00"/>
    <n v="105"/>
    <n v="81"/>
    <n v="29"/>
    <n v="75.756019741562199"/>
    <n v="58"/>
    <n v="23550.0857277016"/>
    <n v="11511.475848816701"/>
    <n v="19"/>
    <n v="70.667935409050699"/>
    <n v="3.0302213684289501"/>
    <x v="5"/>
  </r>
  <r>
    <d v="2023-06-13T00:00:00"/>
    <n v="124"/>
    <n v="77"/>
    <n v="30"/>
    <n v="79.701146863465596"/>
    <n v="69"/>
    <n v="32297.1466908886"/>
    <n v="11209.2856747843"/>
    <n v="12"/>
    <n v="80.351050150293005"/>
    <n v="4.9300307389089397"/>
    <x v="5"/>
  </r>
  <r>
    <d v="2023-06-14T00:00:00"/>
    <n v="128"/>
    <n v="69"/>
    <n v="38"/>
    <n v="76.799692066809598"/>
    <n v="55"/>
    <n v="45194.068569068499"/>
    <n v="8523.7494660965403"/>
    <n v="13"/>
    <n v="61.299842638914001"/>
    <n v="3.5017860913822001"/>
    <x v="5"/>
  </r>
  <r>
    <d v="2023-06-15T00:00:00"/>
    <n v="113"/>
    <n v="77"/>
    <n v="26"/>
    <n v="80.649889174958105"/>
    <n v="59"/>
    <n v="31514.988557991299"/>
    <n v="13414.4755308476"/>
    <n v="13"/>
    <n v="64.122015664012096"/>
    <n v="4.3520525761050903"/>
    <x v="5"/>
  </r>
  <r>
    <d v="2023-06-16T00:00:00"/>
    <n v="128"/>
    <n v="84"/>
    <n v="39"/>
    <n v="72.082715282382793"/>
    <n v="59"/>
    <n v="37156.168136815599"/>
    <n v="9712.8716739816391"/>
    <n v="20"/>
    <n v="85.763772101330005"/>
    <n v="4.41325973975741"/>
    <x v="5"/>
  </r>
  <r>
    <d v="2023-06-17T00:00:00"/>
    <n v="116"/>
    <n v="86"/>
    <n v="32"/>
    <n v="85.571793727248107"/>
    <n v="62"/>
    <n v="37633.080825865902"/>
    <n v="14791.0493801515"/>
    <n v="14"/>
    <n v="87.858260526016196"/>
    <n v="4.2200148341589703"/>
    <x v="5"/>
  </r>
  <r>
    <d v="2023-06-18T00:00:00"/>
    <n v="115"/>
    <n v="72"/>
    <n v="34"/>
    <n v="72.0283769077664"/>
    <n v="66"/>
    <n v="25534.2875940091"/>
    <n v="11341.4213829573"/>
    <n v="9"/>
    <n v="85.702329099458893"/>
    <n v="3.6258147884272902"/>
    <x v="5"/>
  </r>
  <r>
    <d v="2023-06-19T00:00:00"/>
    <n v="133"/>
    <n v="89"/>
    <n v="24"/>
    <n v="94.010695234670806"/>
    <n v="58"/>
    <n v="30867.0632495686"/>
    <n v="6262.6474156450204"/>
    <n v="15"/>
    <n v="66.777919758292498"/>
    <n v="3.5421925075281302"/>
    <x v="5"/>
  </r>
  <r>
    <d v="2023-06-20T00:00:00"/>
    <n v="128"/>
    <n v="84"/>
    <n v="47"/>
    <n v="77.011362457312998"/>
    <n v="66"/>
    <n v="30035.338662257898"/>
    <n v="11761.775620754301"/>
    <n v="17"/>
    <n v="81.2146201202752"/>
    <n v="4.1953365654054"/>
    <x v="5"/>
  </r>
  <r>
    <d v="2023-06-21T00:00:00"/>
    <n v="104"/>
    <n v="66"/>
    <n v="37"/>
    <n v="86.200357438135299"/>
    <n v="58"/>
    <n v="20785.9012559619"/>
    <n v="8251.0401543169901"/>
    <n v="18"/>
    <n v="69.053429332043905"/>
    <n v="4.7321912672233797"/>
    <x v="5"/>
  </r>
  <r>
    <d v="2023-06-22T00:00:00"/>
    <n v="120"/>
    <n v="86"/>
    <n v="26"/>
    <n v="96.4023726268437"/>
    <n v="58"/>
    <n v="20725.752916740599"/>
    <n v="11863.271966860901"/>
    <n v="12"/>
    <n v="69.901594085844096"/>
    <n v="4.89346745784679"/>
    <x v="5"/>
  </r>
  <r>
    <d v="2023-06-23T00:00:00"/>
    <n v="114"/>
    <n v="90"/>
    <n v="29"/>
    <n v="89.526321071415794"/>
    <n v="50"/>
    <n v="44950.911310273201"/>
    <n v="5696.4114816240499"/>
    <n v="18"/>
    <n v="58.187204362291297"/>
    <n v="3.2118116088075102"/>
    <x v="5"/>
  </r>
  <r>
    <d v="2023-06-24T00:00:00"/>
    <n v="116"/>
    <n v="84"/>
    <n v="28"/>
    <n v="85.988733596540001"/>
    <n v="51"/>
    <n v="28192.124299184299"/>
    <n v="6748.8143717595904"/>
    <n v="6"/>
    <n v="73.645212130340596"/>
    <n v="3.3096572251954299"/>
    <x v="5"/>
  </r>
  <r>
    <d v="2023-06-25T00:00:00"/>
    <n v="137"/>
    <n v="74"/>
    <n v="24"/>
    <n v="79.730012593461197"/>
    <n v="65"/>
    <n v="35542.362987164401"/>
    <n v="13557.372589057801"/>
    <n v="24"/>
    <n v="57.445435910133902"/>
    <n v="4.8894725175661504"/>
    <x v="5"/>
  </r>
  <r>
    <d v="2023-06-26T00:00:00"/>
    <n v="114"/>
    <n v="72"/>
    <n v="46"/>
    <n v="79.990057391745907"/>
    <n v="50"/>
    <n v="28961.767207663099"/>
    <n v="7271.7955702351401"/>
    <n v="14"/>
    <n v="63.262587962687697"/>
    <n v="4.4730704566695803"/>
    <x v="5"/>
  </r>
  <r>
    <d v="2023-06-27T00:00:00"/>
    <n v="145"/>
    <n v="71"/>
    <n v="33"/>
    <n v="90.084608655945701"/>
    <n v="59"/>
    <n v="48220.377353460201"/>
    <n v="13370.4112524294"/>
    <n v="11"/>
    <n v="84.201208064797399"/>
    <n v="4.7659876496595404"/>
    <x v="5"/>
  </r>
  <r>
    <d v="2023-06-28T00:00:00"/>
    <n v="124"/>
    <n v="78"/>
    <n v="35"/>
    <n v="99.824180836634994"/>
    <n v="67"/>
    <n v="27778.902765973198"/>
    <n v="7792.7608845441"/>
    <n v="13"/>
    <n v="58.283032368434199"/>
    <n v="3.4052652682706799"/>
    <x v="5"/>
  </r>
  <r>
    <d v="2023-06-29T00:00:00"/>
    <n v="113"/>
    <n v="89"/>
    <n v="25"/>
    <n v="89.855175695481293"/>
    <n v="57"/>
    <n v="32889.704382167998"/>
    <n v="11428.819100586999"/>
    <n v="18"/>
    <n v="52.846331406937303"/>
    <n v="4.1751717422187999"/>
    <x v="5"/>
  </r>
  <r>
    <d v="2023-06-30T00:00:00"/>
    <n v="126"/>
    <n v="73"/>
    <n v="24"/>
    <n v="86.733502521100704"/>
    <n v="60"/>
    <n v="46181.907514537997"/>
    <n v="11941.505735098301"/>
    <n v="11"/>
    <n v="52.760303704512602"/>
    <n v="4.4022791888349397"/>
    <x v="5"/>
  </r>
  <r>
    <d v="2023-07-01T00:00:00"/>
    <n v="130"/>
    <n v="82"/>
    <n v="27"/>
    <n v="91.919515307177306"/>
    <n v="51"/>
    <n v="45258.007003754203"/>
    <n v="10126.5475314505"/>
    <n v="15"/>
    <n v="87.631380820124306"/>
    <n v="4.3602237708939402"/>
    <x v="6"/>
  </r>
  <r>
    <d v="2023-07-02T00:00:00"/>
    <n v="102"/>
    <n v="83"/>
    <n v="29"/>
    <n v="83.956168368511499"/>
    <n v="57"/>
    <n v="25583.0425353883"/>
    <n v="8053.1067669673103"/>
    <n v="11"/>
    <n v="70.276817518473393"/>
    <n v="3.8163033817333898"/>
    <x v="6"/>
  </r>
  <r>
    <d v="2023-07-03T00:00:00"/>
    <n v="97"/>
    <n v="81"/>
    <n v="32"/>
    <n v="71.804270278023495"/>
    <n v="57"/>
    <n v="44079.2992938713"/>
    <n v="7126.4437637109604"/>
    <n v="16"/>
    <n v="66.376482872680697"/>
    <n v="3.0307897833826098"/>
    <x v="6"/>
  </r>
  <r>
    <d v="2023-07-04T00:00:00"/>
    <n v="118"/>
    <n v="87"/>
    <n v="24"/>
    <n v="86.868904476337207"/>
    <n v="66"/>
    <n v="33745.606602136701"/>
    <n v="5331.8935456242598"/>
    <n v="10"/>
    <n v="82.435143240316705"/>
    <n v="4.16585211360852"/>
    <x v="6"/>
  </r>
  <r>
    <d v="2023-07-05T00:00:00"/>
    <n v="115"/>
    <n v="92"/>
    <n v="33"/>
    <n v="98.728758535161404"/>
    <n v="64"/>
    <n v="34489.066162560601"/>
    <n v="8039.4640124072303"/>
    <n v="18"/>
    <n v="83.433037116420607"/>
    <n v="3.50620307835921"/>
    <x v="6"/>
  </r>
  <r>
    <d v="2023-07-06T00:00:00"/>
    <n v="106"/>
    <n v="93"/>
    <n v="36"/>
    <n v="75.259088270729706"/>
    <n v="66"/>
    <n v="24004.399172478301"/>
    <n v="11531.6279053128"/>
    <n v="17"/>
    <n v="63.287641324624097"/>
    <n v="3.90050849228578"/>
    <x v="6"/>
  </r>
  <r>
    <d v="2023-07-07T00:00:00"/>
    <n v="124"/>
    <n v="78"/>
    <n v="31"/>
    <n v="90.700146724619898"/>
    <n v="62"/>
    <n v="22418.045412713702"/>
    <n v="14383.0481844848"/>
    <n v="18"/>
    <n v="77.7447222989518"/>
    <n v="4.9151620301676298"/>
    <x v="6"/>
  </r>
  <r>
    <d v="2023-07-08T00:00:00"/>
    <n v="102"/>
    <n v="74"/>
    <n v="25"/>
    <n v="76.028010659771695"/>
    <n v="68"/>
    <n v="41838.179209212904"/>
    <n v="13712.0448226305"/>
    <n v="21"/>
    <n v="80.844912634075399"/>
    <n v="3.7980706352848599"/>
    <x v="6"/>
  </r>
  <r>
    <d v="2023-07-09T00:00:00"/>
    <n v="100"/>
    <n v="83"/>
    <n v="26"/>
    <n v="86.074830534192401"/>
    <n v="54"/>
    <n v="34893.834570658903"/>
    <n v="12660.647765353"/>
    <n v="13"/>
    <n v="76.186027474638095"/>
    <n v="4.6796032133288499"/>
    <x v="6"/>
  </r>
  <r>
    <d v="2023-07-10T00:00:00"/>
    <n v="127"/>
    <n v="69"/>
    <n v="30"/>
    <n v="72.900293489401506"/>
    <n v="61"/>
    <n v="33105.521078455298"/>
    <n v="12884.473432532899"/>
    <n v="9"/>
    <n v="56.0638029920039"/>
    <n v="3.3770812114985"/>
    <x v="6"/>
  </r>
  <r>
    <d v="2023-07-11T00:00:00"/>
    <n v="116"/>
    <n v="70"/>
    <n v="16"/>
    <n v="83.511128087745504"/>
    <n v="50"/>
    <n v="41885.246859571896"/>
    <n v="11649.8490347599"/>
    <n v="12"/>
    <n v="85.035323340682197"/>
    <n v="4.3449209960500497"/>
    <x v="6"/>
  </r>
  <r>
    <d v="2023-07-12T00:00:00"/>
    <n v="116"/>
    <n v="68"/>
    <n v="29"/>
    <n v="92.684899866857293"/>
    <n v="54"/>
    <n v="42965.386969733197"/>
    <n v="7602.8685756600298"/>
    <n v="13"/>
    <n v="71.563782109440297"/>
    <n v="4.9540139088778803"/>
    <x v="6"/>
  </r>
  <r>
    <d v="2023-07-13T00:00:00"/>
    <n v="129"/>
    <n v="74"/>
    <n v="27"/>
    <n v="80.427145727169403"/>
    <n v="57"/>
    <n v="24767.245030080601"/>
    <n v="14071.9503070582"/>
    <n v="10"/>
    <n v="61.298897054800101"/>
    <n v="3.2037862017458698"/>
    <x v="6"/>
  </r>
  <r>
    <d v="2023-07-14T00:00:00"/>
    <n v="118"/>
    <n v="84"/>
    <n v="16"/>
    <n v="89.947351734616504"/>
    <n v="62"/>
    <n v="38306.754484329198"/>
    <n v="11707.323119058299"/>
    <n v="15"/>
    <n v="67.009127417507699"/>
    <n v="3.01663988445438"/>
    <x v="6"/>
  </r>
  <r>
    <d v="2023-07-15T00:00:00"/>
    <n v="104"/>
    <n v="72"/>
    <n v="32"/>
    <n v="93.863498823691799"/>
    <n v="57"/>
    <n v="24060.622468330501"/>
    <n v="10604.406309804301"/>
    <n v="15"/>
    <n v="51.502843615956202"/>
    <n v="3.8671655852652198"/>
    <x v="6"/>
  </r>
  <r>
    <d v="2023-07-16T00:00:00"/>
    <n v="97"/>
    <n v="69"/>
    <n v="29"/>
    <n v="97.815334584383507"/>
    <n v="60"/>
    <n v="42541.252580871304"/>
    <n v="6109.8946921348097"/>
    <n v="25"/>
    <n v="55.114672048896701"/>
    <n v="3.1852509661027302"/>
    <x v="6"/>
  </r>
  <r>
    <d v="2023-07-17T00:00:00"/>
    <n v="105"/>
    <n v="92"/>
    <n v="30"/>
    <n v="77.039262455663604"/>
    <n v="50"/>
    <n v="39708.654688014103"/>
    <n v="9470.5554380642498"/>
    <n v="17"/>
    <n v="80.621870020634404"/>
    <n v="4.4967686993524598"/>
    <x v="6"/>
  </r>
  <r>
    <d v="2023-07-18T00:00:00"/>
    <n v="128"/>
    <n v="83"/>
    <n v="23"/>
    <n v="81.979477474279193"/>
    <n v="62"/>
    <n v="48698.438632503698"/>
    <n v="9603.5827120192607"/>
    <n v="18"/>
    <n v="50.0004653902146"/>
    <n v="4.8290973276971103"/>
    <x v="6"/>
  </r>
  <r>
    <d v="2023-07-19T00:00:00"/>
    <n v="149"/>
    <n v="78"/>
    <n v="27"/>
    <n v="74.572480399912493"/>
    <n v="68"/>
    <n v="22068.740490692599"/>
    <n v="13645.6360952267"/>
    <n v="10"/>
    <n v="66.6626331392916"/>
    <n v="3.868041945417509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D3153-25EE-4CDA-8A8A-6D771978F4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2">
    <pivotField numFmtId="14"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ed_Occupancy_Rate" fld="4" baseField="0" baseItem="0"/>
    <dataField name="Sum of Daily_Revenue" fld="6" baseField="0" baseItem="0"/>
    <dataField name="Sum of Patient_Inflow" fld="1" baseField="0" baseItem="0"/>
    <dataField name="Sum of Patient_Satisfaction_Sco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C789-2576-4E81-BD52-00100157AF5D}">
  <dimension ref="A3:E11"/>
  <sheetViews>
    <sheetView tabSelected="1" zoomScale="95"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26.21875" bestFit="1" customWidth="1"/>
    <col min="3" max="3" width="20.109375" bestFit="1" customWidth="1"/>
    <col min="4" max="4" width="20" bestFit="1" customWidth="1"/>
    <col min="5" max="5" width="30.44140625" bestFit="1" customWidth="1"/>
  </cols>
  <sheetData>
    <row r="3" spans="1:5" x14ac:dyDescent="0.3">
      <c r="A3" s="2" t="s">
        <v>12</v>
      </c>
      <c r="B3" t="s">
        <v>24</v>
      </c>
      <c r="C3" t="s">
        <v>21</v>
      </c>
      <c r="D3" t="s">
        <v>22</v>
      </c>
      <c r="E3" t="s">
        <v>23</v>
      </c>
    </row>
    <row r="4" spans="1:5" x14ac:dyDescent="0.3">
      <c r="A4" s="3" t="s">
        <v>13</v>
      </c>
      <c r="B4">
        <v>2713.8345053747971</v>
      </c>
      <c r="C4">
        <v>1046079.2147415909</v>
      </c>
      <c r="D4">
        <v>3634</v>
      </c>
      <c r="E4">
        <v>125.69580954135196</v>
      </c>
    </row>
    <row r="5" spans="1:5" x14ac:dyDescent="0.3">
      <c r="A5" s="3" t="s">
        <v>14</v>
      </c>
      <c r="B5">
        <v>2382.3791395964327</v>
      </c>
      <c r="C5">
        <v>1037614.7854003706</v>
      </c>
      <c r="D5">
        <v>3460</v>
      </c>
      <c r="E5">
        <v>114.91012355190637</v>
      </c>
    </row>
    <row r="6" spans="1:5" x14ac:dyDescent="0.3">
      <c r="A6" s="3" t="s">
        <v>15</v>
      </c>
      <c r="B6">
        <v>2606.3240465504318</v>
      </c>
      <c r="C6">
        <v>1118758.378773775</v>
      </c>
      <c r="D6">
        <v>3722</v>
      </c>
      <c r="E6">
        <v>129.08202576047225</v>
      </c>
    </row>
    <row r="7" spans="1:5" x14ac:dyDescent="0.3">
      <c r="A7" s="3" t="s">
        <v>16</v>
      </c>
      <c r="B7">
        <v>2555.8351718335334</v>
      </c>
      <c r="C7">
        <v>1072710.6144453285</v>
      </c>
      <c r="D7">
        <v>3681</v>
      </c>
      <c r="E7">
        <v>118.39253471246739</v>
      </c>
    </row>
    <row r="8" spans="1:5" x14ac:dyDescent="0.3">
      <c r="A8" s="3" t="s">
        <v>17</v>
      </c>
      <c r="B8">
        <v>2629.6811975279006</v>
      </c>
      <c r="C8">
        <v>1061178.8350862789</v>
      </c>
      <c r="D8">
        <v>3647</v>
      </c>
      <c r="E8">
        <v>120.56900698645673</v>
      </c>
    </row>
    <row r="9" spans="1:5" x14ac:dyDescent="0.3">
      <c r="A9" s="3" t="s">
        <v>18</v>
      </c>
      <c r="B9">
        <v>2526.0454761875058</v>
      </c>
      <c r="C9">
        <v>1042838.6370639493</v>
      </c>
      <c r="D9">
        <v>3601</v>
      </c>
      <c r="E9">
        <v>121.47732124005624</v>
      </c>
    </row>
    <row r="10" spans="1:5" x14ac:dyDescent="0.3">
      <c r="A10" s="3" t="s">
        <v>19</v>
      </c>
      <c r="B10">
        <v>1606.0805657982455</v>
      </c>
      <c r="C10">
        <v>664417.34324535728</v>
      </c>
      <c r="D10">
        <v>2183</v>
      </c>
      <c r="E10">
        <v>75.315483225506497</v>
      </c>
    </row>
    <row r="11" spans="1:5" x14ac:dyDescent="0.3">
      <c r="A11" s="3" t="s">
        <v>20</v>
      </c>
      <c r="B11">
        <v>17020.18010286885</v>
      </c>
      <c r="C11">
        <v>7043597.8087566504</v>
      </c>
      <c r="D11">
        <v>23928</v>
      </c>
      <c r="E11">
        <v>805.44230501821744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51AD-F852-4F4B-8543-93CBD8997528}">
  <dimension ref="A1:L201"/>
  <sheetViews>
    <sheetView workbookViewId="0">
      <selection activeCell="A4" sqref="A1:L201"/>
    </sheetView>
  </sheetViews>
  <sheetFormatPr defaultRowHeight="14.4" x14ac:dyDescent="0.3"/>
  <cols>
    <col min="1" max="1" width="12.77734375" customWidth="1"/>
    <col min="11" max="11" width="2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44927</v>
      </c>
      <c r="B2">
        <v>116</v>
      </c>
      <c r="C2">
        <v>74</v>
      </c>
      <c r="D2">
        <v>30</v>
      </c>
      <c r="E2">
        <v>76.055603563688393</v>
      </c>
      <c r="F2">
        <v>54</v>
      </c>
      <c r="G2">
        <v>22137.7018329577</v>
      </c>
      <c r="H2">
        <v>5570.5472115125403</v>
      </c>
      <c r="I2">
        <v>15</v>
      </c>
      <c r="J2">
        <v>80.806328470283802</v>
      </c>
      <c r="K2">
        <v>4.0450203621711696</v>
      </c>
      <c r="L2" t="str">
        <f>TEXT(A2,"mmm")</f>
        <v>Jan</v>
      </c>
    </row>
    <row r="3" spans="1:12" x14ac:dyDescent="0.3">
      <c r="A3" s="1">
        <v>44928</v>
      </c>
      <c r="B3">
        <v>128</v>
      </c>
      <c r="C3">
        <v>64</v>
      </c>
      <c r="D3">
        <v>24</v>
      </c>
      <c r="E3">
        <v>90.202972999747502</v>
      </c>
      <c r="F3">
        <v>69</v>
      </c>
      <c r="G3">
        <v>20363.254257046599</v>
      </c>
      <c r="H3">
        <v>7821.8707469319997</v>
      </c>
      <c r="I3">
        <v>29</v>
      </c>
      <c r="J3">
        <v>82.286221494595296</v>
      </c>
      <c r="K3">
        <v>3.1092688400019401</v>
      </c>
      <c r="L3" t="str">
        <f t="shared" ref="L3:L66" si="0">TEXT(A3,"mmm")</f>
        <v>Jan</v>
      </c>
    </row>
    <row r="4" spans="1:12" x14ac:dyDescent="0.3">
      <c r="A4" s="1">
        <v>44929</v>
      </c>
      <c r="B4">
        <v>107</v>
      </c>
      <c r="C4">
        <v>83</v>
      </c>
      <c r="D4">
        <v>21</v>
      </c>
      <c r="E4">
        <v>99.0973613832181</v>
      </c>
      <c r="F4">
        <v>57</v>
      </c>
      <c r="G4">
        <v>48695.041948984399</v>
      </c>
      <c r="H4">
        <v>7617.0568373590504</v>
      </c>
      <c r="I4">
        <v>14</v>
      </c>
      <c r="J4">
        <v>54.808289164823002</v>
      </c>
      <c r="K4">
        <v>4.9461563259446599</v>
      </c>
      <c r="L4" t="str">
        <f t="shared" si="0"/>
        <v>Jan</v>
      </c>
    </row>
    <row r="5" spans="1:12" x14ac:dyDescent="0.3">
      <c r="A5" s="1">
        <v>44930</v>
      </c>
      <c r="B5">
        <v>123</v>
      </c>
      <c r="C5">
        <v>79</v>
      </c>
      <c r="D5">
        <v>26</v>
      </c>
      <c r="E5">
        <v>72.817021473682502</v>
      </c>
      <c r="F5">
        <v>61</v>
      </c>
      <c r="G5">
        <v>42125.2507837702</v>
      </c>
      <c r="H5">
        <v>7469.7879907199904</v>
      </c>
      <c r="I5">
        <v>12</v>
      </c>
      <c r="J5">
        <v>60.623313318344202</v>
      </c>
      <c r="K5">
        <v>3.4522506624993401</v>
      </c>
      <c r="L5" t="str">
        <f t="shared" si="0"/>
        <v>Jan</v>
      </c>
    </row>
    <row r="6" spans="1:12" x14ac:dyDescent="0.3">
      <c r="A6" s="1">
        <v>44931</v>
      </c>
      <c r="B6">
        <v>132</v>
      </c>
      <c r="C6">
        <v>82</v>
      </c>
      <c r="D6">
        <v>26</v>
      </c>
      <c r="E6">
        <v>90.178063546753705</v>
      </c>
      <c r="F6">
        <v>50</v>
      </c>
      <c r="G6">
        <v>30597.542255061901</v>
      </c>
      <c r="H6">
        <v>14062.5458052103</v>
      </c>
      <c r="I6">
        <v>18</v>
      </c>
      <c r="J6">
        <v>50.7020945346651</v>
      </c>
      <c r="K6">
        <v>3.6083974392725602</v>
      </c>
      <c r="L6" t="str">
        <f t="shared" si="0"/>
        <v>Jan</v>
      </c>
    </row>
    <row r="7" spans="1:12" x14ac:dyDescent="0.3">
      <c r="A7" s="1">
        <v>44932</v>
      </c>
      <c r="B7">
        <v>109</v>
      </c>
      <c r="C7">
        <v>59</v>
      </c>
      <c r="D7">
        <v>34</v>
      </c>
      <c r="E7">
        <v>83.312506579137093</v>
      </c>
      <c r="F7">
        <v>69</v>
      </c>
      <c r="G7">
        <v>28896.067438629601</v>
      </c>
      <c r="H7">
        <v>7495.4619984950596</v>
      </c>
      <c r="I7">
        <v>19</v>
      </c>
      <c r="J7">
        <v>61.732344431222501</v>
      </c>
      <c r="K7">
        <v>3.60788502451005</v>
      </c>
      <c r="L7" t="str">
        <f t="shared" si="0"/>
        <v>Jan</v>
      </c>
    </row>
    <row r="8" spans="1:12" x14ac:dyDescent="0.3">
      <c r="A8" s="1">
        <v>44933</v>
      </c>
      <c r="B8">
        <v>113</v>
      </c>
      <c r="C8">
        <v>79</v>
      </c>
      <c r="D8">
        <v>31</v>
      </c>
      <c r="E8">
        <v>96.044267631325098</v>
      </c>
      <c r="F8">
        <v>55</v>
      </c>
      <c r="G8">
        <v>30491.096892375401</v>
      </c>
      <c r="H8">
        <v>7719.4972612863003</v>
      </c>
      <c r="I8">
        <v>20</v>
      </c>
      <c r="J8">
        <v>80.925674956746803</v>
      </c>
      <c r="K8">
        <v>3.4608333242346898</v>
      </c>
      <c r="L8" t="str">
        <f t="shared" si="0"/>
        <v>Jan</v>
      </c>
    </row>
    <row r="9" spans="1:12" x14ac:dyDescent="0.3">
      <c r="A9" s="1">
        <v>44934</v>
      </c>
      <c r="B9">
        <v>118</v>
      </c>
      <c r="C9">
        <v>74</v>
      </c>
      <c r="D9">
        <v>34</v>
      </c>
      <c r="E9">
        <v>75.314493683421503</v>
      </c>
      <c r="F9">
        <v>67</v>
      </c>
      <c r="G9">
        <v>43239.6059354354</v>
      </c>
      <c r="H9">
        <v>12593.9826241796</v>
      </c>
      <c r="I9">
        <v>17</v>
      </c>
      <c r="J9">
        <v>70.718421108503094</v>
      </c>
      <c r="K9">
        <v>3.0029476441726199</v>
      </c>
      <c r="L9" t="str">
        <f t="shared" si="0"/>
        <v>Jan</v>
      </c>
    </row>
    <row r="10" spans="1:12" x14ac:dyDescent="0.3">
      <c r="A10" s="1">
        <v>44935</v>
      </c>
      <c r="B10">
        <v>124</v>
      </c>
      <c r="C10">
        <v>79</v>
      </c>
      <c r="D10">
        <v>31</v>
      </c>
      <c r="E10">
        <v>90.778778566784894</v>
      </c>
      <c r="F10">
        <v>57</v>
      </c>
      <c r="G10">
        <v>39841.118332112397</v>
      </c>
      <c r="H10">
        <v>9497.3984245053998</v>
      </c>
      <c r="I10">
        <v>9</v>
      </c>
      <c r="J10">
        <v>63.923823726731499</v>
      </c>
      <c r="K10">
        <v>4.4586895881759903</v>
      </c>
      <c r="L10" t="str">
        <f t="shared" si="0"/>
        <v>Jan</v>
      </c>
    </row>
    <row r="11" spans="1:12" x14ac:dyDescent="0.3">
      <c r="A11" s="1">
        <v>44936</v>
      </c>
      <c r="B11">
        <v>113</v>
      </c>
      <c r="C11">
        <v>82</v>
      </c>
      <c r="D11">
        <v>30</v>
      </c>
      <c r="E11">
        <v>95.143458689443307</v>
      </c>
      <c r="F11">
        <v>56</v>
      </c>
      <c r="G11">
        <v>25555.867036023999</v>
      </c>
      <c r="H11">
        <v>12767.105569551801</v>
      </c>
      <c r="I11">
        <v>13</v>
      </c>
      <c r="J11">
        <v>64.869571796253197</v>
      </c>
      <c r="K11">
        <v>4.9336909995985696</v>
      </c>
      <c r="L11" t="str">
        <f t="shared" si="0"/>
        <v>Jan</v>
      </c>
    </row>
    <row r="12" spans="1:12" x14ac:dyDescent="0.3">
      <c r="A12" s="1">
        <v>44937</v>
      </c>
      <c r="B12">
        <v>119</v>
      </c>
      <c r="C12">
        <v>85</v>
      </c>
      <c r="D12">
        <v>27</v>
      </c>
      <c r="E12">
        <v>98.338426584220699</v>
      </c>
      <c r="F12">
        <v>50</v>
      </c>
      <c r="G12">
        <v>25223.280060022498</v>
      </c>
      <c r="H12">
        <v>5653.6615756438496</v>
      </c>
      <c r="I12">
        <v>12</v>
      </c>
      <c r="J12">
        <v>50.054145028618699</v>
      </c>
      <c r="K12">
        <v>3.4485869665700899</v>
      </c>
      <c r="L12" t="str">
        <f t="shared" si="0"/>
        <v>Jan</v>
      </c>
    </row>
    <row r="13" spans="1:12" x14ac:dyDescent="0.3">
      <c r="A13" s="1">
        <v>44938</v>
      </c>
      <c r="B13">
        <v>109</v>
      </c>
      <c r="C13">
        <v>75</v>
      </c>
      <c r="D13">
        <v>22</v>
      </c>
      <c r="E13">
        <v>90.497440848689294</v>
      </c>
      <c r="F13">
        <v>65</v>
      </c>
      <c r="G13">
        <v>22951.8694914019</v>
      </c>
      <c r="H13">
        <v>9875.71193673384</v>
      </c>
      <c r="I13">
        <v>18</v>
      </c>
      <c r="J13">
        <v>61.992021102609399</v>
      </c>
      <c r="K13">
        <v>4.32609438360684</v>
      </c>
      <c r="L13" t="str">
        <f t="shared" si="0"/>
        <v>Jan</v>
      </c>
    </row>
    <row r="14" spans="1:12" x14ac:dyDescent="0.3">
      <c r="A14" s="1">
        <v>44939</v>
      </c>
      <c r="B14">
        <v>123</v>
      </c>
      <c r="C14">
        <v>85</v>
      </c>
      <c r="D14">
        <v>34</v>
      </c>
      <c r="E14">
        <v>84.915242920252794</v>
      </c>
      <c r="F14">
        <v>61</v>
      </c>
      <c r="G14">
        <v>39809.0815910401</v>
      </c>
      <c r="H14">
        <v>5336.1360018328196</v>
      </c>
      <c r="I14">
        <v>17</v>
      </c>
      <c r="J14">
        <v>75.858349665517196</v>
      </c>
      <c r="K14">
        <v>4.4837926539174298</v>
      </c>
      <c r="L14" t="str">
        <f t="shared" si="0"/>
        <v>Jan</v>
      </c>
    </row>
    <row r="15" spans="1:12" x14ac:dyDescent="0.3">
      <c r="A15" s="1">
        <v>44940</v>
      </c>
      <c r="B15">
        <v>123</v>
      </c>
      <c r="C15">
        <v>94</v>
      </c>
      <c r="D15">
        <v>33</v>
      </c>
      <c r="E15">
        <v>88.535417206036399</v>
      </c>
      <c r="F15">
        <v>55</v>
      </c>
      <c r="G15">
        <v>42931.179866651997</v>
      </c>
      <c r="H15">
        <v>5626.5320345535401</v>
      </c>
      <c r="I15">
        <v>21</v>
      </c>
      <c r="J15">
        <v>88.9677777526542</v>
      </c>
      <c r="K15">
        <v>4.6968507581810499</v>
      </c>
      <c r="L15" t="str">
        <f t="shared" si="0"/>
        <v>Jan</v>
      </c>
    </row>
    <row r="16" spans="1:12" x14ac:dyDescent="0.3">
      <c r="A16" s="1">
        <v>44941</v>
      </c>
      <c r="B16">
        <v>113</v>
      </c>
      <c r="C16">
        <v>100</v>
      </c>
      <c r="D16">
        <v>26</v>
      </c>
      <c r="E16">
        <v>96.067149534361505</v>
      </c>
      <c r="F16">
        <v>69</v>
      </c>
      <c r="G16">
        <v>27951.3928497501</v>
      </c>
      <c r="H16">
        <v>14064.374533444099</v>
      </c>
      <c r="I16">
        <v>8</v>
      </c>
      <c r="J16">
        <v>83.882433079355906</v>
      </c>
      <c r="K16">
        <v>3.8452583940272098</v>
      </c>
      <c r="L16" t="str">
        <f t="shared" si="0"/>
        <v>Jan</v>
      </c>
    </row>
    <row r="17" spans="1:12" x14ac:dyDescent="0.3">
      <c r="A17" s="1">
        <v>44942</v>
      </c>
      <c r="B17">
        <v>126</v>
      </c>
      <c r="C17">
        <v>83</v>
      </c>
      <c r="D17">
        <v>35</v>
      </c>
      <c r="E17">
        <v>87.118292399164801</v>
      </c>
      <c r="F17">
        <v>51</v>
      </c>
      <c r="G17">
        <v>20628.348830927302</v>
      </c>
      <c r="H17">
        <v>6392.45371117595</v>
      </c>
      <c r="I17">
        <v>19</v>
      </c>
      <c r="J17">
        <v>50.943798585821099</v>
      </c>
      <c r="K17">
        <v>3.60586181128085</v>
      </c>
      <c r="L17" t="str">
        <f t="shared" si="0"/>
        <v>Jan</v>
      </c>
    </row>
    <row r="18" spans="1:12" x14ac:dyDescent="0.3">
      <c r="A18" s="1">
        <v>44943</v>
      </c>
      <c r="B18">
        <v>105</v>
      </c>
      <c r="C18">
        <v>97</v>
      </c>
      <c r="D18">
        <v>26</v>
      </c>
      <c r="E18">
        <v>70.911611790905098</v>
      </c>
      <c r="F18">
        <v>63</v>
      </c>
      <c r="G18">
        <v>22465.150024292801</v>
      </c>
      <c r="H18">
        <v>10324.206822752099</v>
      </c>
      <c r="I18">
        <v>20</v>
      </c>
      <c r="J18">
        <v>85.942424186993506</v>
      </c>
      <c r="K18">
        <v>3.6505902680460598</v>
      </c>
      <c r="L18" t="str">
        <f t="shared" si="0"/>
        <v>Jan</v>
      </c>
    </row>
    <row r="19" spans="1:12" x14ac:dyDescent="0.3">
      <c r="A19" s="1">
        <v>44944</v>
      </c>
      <c r="B19">
        <v>112</v>
      </c>
      <c r="C19">
        <v>59</v>
      </c>
      <c r="D19">
        <v>28</v>
      </c>
      <c r="E19">
        <v>97.928460865209303</v>
      </c>
      <c r="F19">
        <v>53</v>
      </c>
      <c r="G19">
        <v>49035.801045350898</v>
      </c>
      <c r="H19">
        <v>9110.9560260070593</v>
      </c>
      <c r="I19">
        <v>16</v>
      </c>
      <c r="J19">
        <v>81.327936531944999</v>
      </c>
      <c r="K19">
        <v>4.4252426661970201</v>
      </c>
      <c r="L19" t="str">
        <f t="shared" si="0"/>
        <v>Jan</v>
      </c>
    </row>
    <row r="20" spans="1:12" x14ac:dyDescent="0.3">
      <c r="A20" s="1">
        <v>44945</v>
      </c>
      <c r="B20">
        <v>114</v>
      </c>
      <c r="C20">
        <v>77</v>
      </c>
      <c r="D20">
        <v>39</v>
      </c>
      <c r="E20">
        <v>90.685802530946802</v>
      </c>
      <c r="F20">
        <v>50</v>
      </c>
      <c r="G20">
        <v>28863.343324322599</v>
      </c>
      <c r="H20">
        <v>8473.4332625884199</v>
      </c>
      <c r="I20">
        <v>17</v>
      </c>
      <c r="J20">
        <v>81.215044942839199</v>
      </c>
      <c r="K20">
        <v>4.6335589330112699</v>
      </c>
      <c r="L20" t="str">
        <f t="shared" si="0"/>
        <v>Jan</v>
      </c>
    </row>
    <row r="21" spans="1:12" x14ac:dyDescent="0.3">
      <c r="A21" s="1">
        <v>44946</v>
      </c>
      <c r="B21">
        <v>121</v>
      </c>
      <c r="C21">
        <v>82</v>
      </c>
      <c r="D21">
        <v>42</v>
      </c>
      <c r="E21">
        <v>90.295401573317307</v>
      </c>
      <c r="F21">
        <v>67</v>
      </c>
      <c r="G21">
        <v>43076.694435144003</v>
      </c>
      <c r="H21">
        <v>13998.3334568727</v>
      </c>
      <c r="I21">
        <v>20</v>
      </c>
      <c r="J21">
        <v>68.319830360142802</v>
      </c>
      <c r="K21">
        <v>3.3632279355132</v>
      </c>
      <c r="L21" t="str">
        <f t="shared" si="0"/>
        <v>Jan</v>
      </c>
    </row>
    <row r="22" spans="1:12" x14ac:dyDescent="0.3">
      <c r="A22" s="1">
        <v>44947</v>
      </c>
      <c r="B22">
        <v>123</v>
      </c>
      <c r="C22">
        <v>90</v>
      </c>
      <c r="D22">
        <v>24</v>
      </c>
      <c r="E22">
        <v>76.470254571931505</v>
      </c>
      <c r="F22">
        <v>62</v>
      </c>
      <c r="G22">
        <v>38739.9070656279</v>
      </c>
      <c r="H22">
        <v>5218.2339677548898</v>
      </c>
      <c r="I22">
        <v>15</v>
      </c>
      <c r="J22">
        <v>65.920211718180099</v>
      </c>
      <c r="K22">
        <v>3.7418820163155302</v>
      </c>
      <c r="L22" t="str">
        <f t="shared" si="0"/>
        <v>Jan</v>
      </c>
    </row>
    <row r="23" spans="1:12" x14ac:dyDescent="0.3">
      <c r="A23" s="1">
        <v>44948</v>
      </c>
      <c r="B23">
        <v>102</v>
      </c>
      <c r="C23">
        <v>78</v>
      </c>
      <c r="D23">
        <v>37</v>
      </c>
      <c r="E23">
        <v>89.7665641069797</v>
      </c>
      <c r="F23">
        <v>51</v>
      </c>
      <c r="G23">
        <v>31458.189189586799</v>
      </c>
      <c r="H23">
        <v>11637.8968617558</v>
      </c>
      <c r="I23">
        <v>13</v>
      </c>
      <c r="J23">
        <v>62.1166291533277</v>
      </c>
      <c r="K23">
        <v>4.8038803934983001</v>
      </c>
      <c r="L23" t="str">
        <f t="shared" si="0"/>
        <v>Jan</v>
      </c>
    </row>
    <row r="24" spans="1:12" x14ac:dyDescent="0.3">
      <c r="A24" s="1">
        <v>44949</v>
      </c>
      <c r="B24">
        <v>94</v>
      </c>
      <c r="C24">
        <v>91</v>
      </c>
      <c r="D24">
        <v>35</v>
      </c>
      <c r="E24">
        <v>81.815932169624702</v>
      </c>
      <c r="F24">
        <v>58</v>
      </c>
      <c r="G24">
        <v>26170.617865866599</v>
      </c>
      <c r="H24">
        <v>14633.944342135501</v>
      </c>
      <c r="I24">
        <v>18</v>
      </c>
      <c r="J24">
        <v>52.627794358174597</v>
      </c>
      <c r="K24">
        <v>4.6133870393894698</v>
      </c>
      <c r="L24" t="str">
        <f t="shared" si="0"/>
        <v>Jan</v>
      </c>
    </row>
    <row r="25" spans="1:12" x14ac:dyDescent="0.3">
      <c r="A25" s="1">
        <v>44950</v>
      </c>
      <c r="B25">
        <v>116</v>
      </c>
      <c r="C25">
        <v>79</v>
      </c>
      <c r="D25">
        <v>33</v>
      </c>
      <c r="E25">
        <v>89.536989311244696</v>
      </c>
      <c r="F25">
        <v>51</v>
      </c>
      <c r="G25">
        <v>23641.592544782099</v>
      </c>
      <c r="H25">
        <v>10601.681834618401</v>
      </c>
      <c r="I25">
        <v>21</v>
      </c>
      <c r="J25">
        <v>59.129414539747899</v>
      </c>
      <c r="K25">
        <v>4.9697168055249499</v>
      </c>
      <c r="L25" t="str">
        <f t="shared" si="0"/>
        <v>Jan</v>
      </c>
    </row>
    <row r="26" spans="1:12" x14ac:dyDescent="0.3">
      <c r="A26" s="1">
        <v>44951</v>
      </c>
      <c r="B26">
        <v>132</v>
      </c>
      <c r="C26">
        <v>101</v>
      </c>
      <c r="D26">
        <v>26</v>
      </c>
      <c r="E26">
        <v>73.1977909092397</v>
      </c>
      <c r="F26">
        <v>58</v>
      </c>
      <c r="G26">
        <v>38450.389041165901</v>
      </c>
      <c r="H26">
        <v>14368.224620330901</v>
      </c>
      <c r="I26">
        <v>16</v>
      </c>
      <c r="J26">
        <v>59.8641453991209</v>
      </c>
      <c r="K26">
        <v>4.5084965193641597</v>
      </c>
      <c r="L26" t="str">
        <f t="shared" si="0"/>
        <v>Jan</v>
      </c>
    </row>
    <row r="27" spans="1:12" x14ac:dyDescent="0.3">
      <c r="A27" s="1">
        <v>44952</v>
      </c>
      <c r="B27">
        <v>113</v>
      </c>
      <c r="C27">
        <v>72</v>
      </c>
      <c r="D27">
        <v>41</v>
      </c>
      <c r="E27">
        <v>89.735359138090999</v>
      </c>
      <c r="F27">
        <v>50</v>
      </c>
      <c r="G27">
        <v>43239.013419133596</v>
      </c>
      <c r="H27">
        <v>5522.5787928602304</v>
      </c>
      <c r="I27">
        <v>16</v>
      </c>
      <c r="J27">
        <v>69.363082788407993</v>
      </c>
      <c r="K27">
        <v>3.7863904020558401</v>
      </c>
      <c r="L27" t="str">
        <f t="shared" si="0"/>
        <v>Jan</v>
      </c>
    </row>
    <row r="28" spans="1:12" x14ac:dyDescent="0.3">
      <c r="A28" s="1">
        <v>44953</v>
      </c>
      <c r="B28">
        <v>106</v>
      </c>
      <c r="C28">
        <v>83</v>
      </c>
      <c r="D28">
        <v>24</v>
      </c>
      <c r="E28">
        <v>99.982411773119907</v>
      </c>
      <c r="F28">
        <v>60</v>
      </c>
      <c r="G28">
        <v>39317.127606233902</v>
      </c>
      <c r="H28">
        <v>9187.9331907416108</v>
      </c>
      <c r="I28">
        <v>12</v>
      </c>
      <c r="J28">
        <v>79.897776263867698</v>
      </c>
      <c r="K28">
        <v>4.1812756679892704</v>
      </c>
      <c r="L28" t="str">
        <f t="shared" si="0"/>
        <v>Jan</v>
      </c>
    </row>
    <row r="29" spans="1:12" x14ac:dyDescent="0.3">
      <c r="A29" s="1">
        <v>44954</v>
      </c>
      <c r="B29">
        <v>129</v>
      </c>
      <c r="C29">
        <v>67</v>
      </c>
      <c r="D29">
        <v>39</v>
      </c>
      <c r="E29">
        <v>71.446361165816597</v>
      </c>
      <c r="F29">
        <v>52</v>
      </c>
      <c r="G29">
        <v>35909.063997474703</v>
      </c>
      <c r="H29">
        <v>7601.5779096205097</v>
      </c>
      <c r="I29">
        <v>9</v>
      </c>
      <c r="J29">
        <v>68.952393135917802</v>
      </c>
      <c r="K29">
        <v>4.3220285084946397</v>
      </c>
      <c r="L29" t="str">
        <f t="shared" si="0"/>
        <v>Jan</v>
      </c>
    </row>
    <row r="30" spans="1:12" x14ac:dyDescent="0.3">
      <c r="A30" s="1">
        <v>44955</v>
      </c>
      <c r="B30">
        <v>127</v>
      </c>
      <c r="C30">
        <v>80</v>
      </c>
      <c r="D30">
        <v>33</v>
      </c>
      <c r="E30">
        <v>99.315225526639495</v>
      </c>
      <c r="F30">
        <v>69</v>
      </c>
      <c r="G30">
        <v>21258.536702949001</v>
      </c>
      <c r="H30">
        <v>12308.209649807201</v>
      </c>
      <c r="I30">
        <v>15</v>
      </c>
      <c r="J30">
        <v>52.313777977886403</v>
      </c>
      <c r="K30">
        <v>3.1569116326342401</v>
      </c>
      <c r="L30" t="str">
        <f t="shared" si="0"/>
        <v>Jan</v>
      </c>
    </row>
    <row r="31" spans="1:12" x14ac:dyDescent="0.3">
      <c r="A31" s="1">
        <v>44956</v>
      </c>
      <c r="B31">
        <v>129</v>
      </c>
      <c r="C31">
        <v>80</v>
      </c>
      <c r="D31">
        <v>41</v>
      </c>
      <c r="E31">
        <v>82.207238821686104</v>
      </c>
      <c r="F31">
        <v>53</v>
      </c>
      <c r="G31">
        <v>49054.663327831498</v>
      </c>
      <c r="H31">
        <v>14812.970904972401</v>
      </c>
      <c r="I31">
        <v>24</v>
      </c>
      <c r="J31">
        <v>88.311592039528094</v>
      </c>
      <c r="K31">
        <v>4.0889939182077297</v>
      </c>
      <c r="L31" t="str">
        <f t="shared" si="0"/>
        <v>Jan</v>
      </c>
    </row>
    <row r="32" spans="1:12" x14ac:dyDescent="0.3">
      <c r="A32" s="1">
        <v>44957</v>
      </c>
      <c r="B32">
        <v>115</v>
      </c>
      <c r="C32">
        <v>81</v>
      </c>
      <c r="D32">
        <v>27</v>
      </c>
      <c r="E32">
        <v>96.122603510117699</v>
      </c>
      <c r="F32">
        <v>67</v>
      </c>
      <c r="G32">
        <v>43961.425749637201</v>
      </c>
      <c r="H32">
        <v>7565.3006244424696</v>
      </c>
      <c r="I32">
        <v>18</v>
      </c>
      <c r="J32">
        <v>87.708972763764393</v>
      </c>
      <c r="K32">
        <v>4.4186416569452103</v>
      </c>
      <c r="L32" t="str">
        <f t="shared" si="0"/>
        <v>Jan</v>
      </c>
    </row>
    <row r="33" spans="1:12" x14ac:dyDescent="0.3">
      <c r="A33" s="1">
        <v>44958</v>
      </c>
      <c r="B33">
        <v>134</v>
      </c>
      <c r="C33">
        <v>92</v>
      </c>
      <c r="D33">
        <v>25</v>
      </c>
      <c r="E33">
        <v>93.471564521748206</v>
      </c>
      <c r="F33">
        <v>55</v>
      </c>
      <c r="G33">
        <v>28784.661101028902</v>
      </c>
      <c r="H33">
        <v>11541.7460147407</v>
      </c>
      <c r="I33">
        <v>17</v>
      </c>
      <c r="J33">
        <v>81.407581725936296</v>
      </c>
      <c r="K33">
        <v>3.3346426080021199</v>
      </c>
      <c r="L33" t="str">
        <f t="shared" si="0"/>
        <v>Feb</v>
      </c>
    </row>
    <row r="34" spans="1:12" x14ac:dyDescent="0.3">
      <c r="A34" s="1">
        <v>44959</v>
      </c>
      <c r="B34">
        <v>114</v>
      </c>
      <c r="C34">
        <v>68</v>
      </c>
      <c r="D34">
        <v>20</v>
      </c>
      <c r="E34">
        <v>87.010487829599995</v>
      </c>
      <c r="F34">
        <v>52</v>
      </c>
      <c r="G34">
        <v>49399.1098807655</v>
      </c>
      <c r="H34">
        <v>6980.9763275974001</v>
      </c>
      <c r="I34">
        <v>12</v>
      </c>
      <c r="J34">
        <v>89.653116062568799</v>
      </c>
      <c r="K34">
        <v>4.5612634348511101</v>
      </c>
      <c r="L34" t="str">
        <f t="shared" si="0"/>
        <v>Feb</v>
      </c>
    </row>
    <row r="35" spans="1:12" x14ac:dyDescent="0.3">
      <c r="A35" s="1">
        <v>44960</v>
      </c>
      <c r="B35">
        <v>114</v>
      </c>
      <c r="C35">
        <v>87</v>
      </c>
      <c r="D35">
        <v>27</v>
      </c>
      <c r="E35">
        <v>92.153476277539795</v>
      </c>
      <c r="F35">
        <v>60</v>
      </c>
      <c r="G35">
        <v>38056.447689089597</v>
      </c>
      <c r="H35">
        <v>10653.302545716</v>
      </c>
      <c r="I35">
        <v>15</v>
      </c>
      <c r="J35">
        <v>71.779293312010495</v>
      </c>
      <c r="K35">
        <v>4.1675455610282199</v>
      </c>
      <c r="L35" t="str">
        <f t="shared" si="0"/>
        <v>Feb</v>
      </c>
    </row>
    <row r="36" spans="1:12" x14ac:dyDescent="0.3">
      <c r="A36" s="1">
        <v>44961</v>
      </c>
      <c r="B36">
        <v>128</v>
      </c>
      <c r="C36">
        <v>85</v>
      </c>
      <c r="D36">
        <v>19</v>
      </c>
      <c r="E36">
        <v>96.355466839040403</v>
      </c>
      <c r="F36">
        <v>64</v>
      </c>
      <c r="G36">
        <v>37472.679746217298</v>
      </c>
      <c r="H36">
        <v>9639.3248668833603</v>
      </c>
      <c r="I36">
        <v>10</v>
      </c>
      <c r="J36">
        <v>88.510734010128203</v>
      </c>
      <c r="K36">
        <v>4.9044435713951797</v>
      </c>
      <c r="L36" t="str">
        <f t="shared" si="0"/>
        <v>Feb</v>
      </c>
    </row>
    <row r="37" spans="1:12" x14ac:dyDescent="0.3">
      <c r="A37" s="1">
        <v>44962</v>
      </c>
      <c r="B37">
        <v>136</v>
      </c>
      <c r="C37">
        <v>69</v>
      </c>
      <c r="D37">
        <v>31</v>
      </c>
      <c r="E37">
        <v>82.124209649530997</v>
      </c>
      <c r="F37">
        <v>54</v>
      </c>
      <c r="G37">
        <v>42442.195382885897</v>
      </c>
      <c r="H37">
        <v>14720.0532963153</v>
      </c>
      <c r="I37">
        <v>27</v>
      </c>
      <c r="J37">
        <v>53.024201624669999</v>
      </c>
      <c r="K37">
        <v>3.0848445964137801</v>
      </c>
      <c r="L37" t="str">
        <f t="shared" si="0"/>
        <v>Feb</v>
      </c>
    </row>
    <row r="38" spans="1:12" x14ac:dyDescent="0.3">
      <c r="A38" s="1">
        <v>44963</v>
      </c>
      <c r="B38">
        <v>105</v>
      </c>
      <c r="C38">
        <v>76</v>
      </c>
      <c r="D38">
        <v>27</v>
      </c>
      <c r="E38">
        <v>79.810994846897103</v>
      </c>
      <c r="F38">
        <v>69</v>
      </c>
      <c r="G38">
        <v>44353.093642704102</v>
      </c>
      <c r="H38">
        <v>11085.2727269646</v>
      </c>
      <c r="I38">
        <v>15</v>
      </c>
      <c r="J38">
        <v>64.627229930454803</v>
      </c>
      <c r="K38">
        <v>3.5306522751109299</v>
      </c>
      <c r="L38" t="str">
        <f t="shared" si="0"/>
        <v>Feb</v>
      </c>
    </row>
    <row r="39" spans="1:12" x14ac:dyDescent="0.3">
      <c r="A39" s="1">
        <v>44964</v>
      </c>
      <c r="B39">
        <v>129</v>
      </c>
      <c r="C39">
        <v>77</v>
      </c>
      <c r="D39">
        <v>38</v>
      </c>
      <c r="E39">
        <v>90.027801566907499</v>
      </c>
      <c r="F39">
        <v>59</v>
      </c>
      <c r="G39">
        <v>39694.358219945003</v>
      </c>
      <c r="H39">
        <v>8495.0637208681801</v>
      </c>
      <c r="I39">
        <v>16</v>
      </c>
      <c r="J39">
        <v>59.0152507202706</v>
      </c>
      <c r="K39">
        <v>4.2031077585996401</v>
      </c>
      <c r="L39" t="str">
        <f t="shared" si="0"/>
        <v>Feb</v>
      </c>
    </row>
    <row r="40" spans="1:12" x14ac:dyDescent="0.3">
      <c r="A40" s="1">
        <v>44965</v>
      </c>
      <c r="B40">
        <v>129</v>
      </c>
      <c r="C40">
        <v>94</v>
      </c>
      <c r="D40">
        <v>25</v>
      </c>
      <c r="E40">
        <v>94.235378258237702</v>
      </c>
      <c r="F40">
        <v>61</v>
      </c>
      <c r="G40">
        <v>23842.872390985998</v>
      </c>
      <c r="H40">
        <v>6140.9578488793304</v>
      </c>
      <c r="I40">
        <v>11</v>
      </c>
      <c r="J40">
        <v>57.833323365370802</v>
      </c>
      <c r="K40">
        <v>3.5931198244118598</v>
      </c>
      <c r="L40" t="str">
        <f t="shared" si="0"/>
        <v>Feb</v>
      </c>
    </row>
    <row r="41" spans="1:12" x14ac:dyDescent="0.3">
      <c r="A41" s="1">
        <v>44966</v>
      </c>
      <c r="B41">
        <v>121</v>
      </c>
      <c r="C41">
        <v>80</v>
      </c>
      <c r="D41">
        <v>37</v>
      </c>
      <c r="E41">
        <v>92.868554043298403</v>
      </c>
      <c r="F41">
        <v>64</v>
      </c>
      <c r="G41">
        <v>30148.025179834902</v>
      </c>
      <c r="H41">
        <v>6512.4682873493402</v>
      </c>
      <c r="I41">
        <v>11</v>
      </c>
      <c r="J41">
        <v>55.632117955707002</v>
      </c>
      <c r="K41">
        <v>4.4288483281424798</v>
      </c>
      <c r="L41" t="str">
        <f t="shared" si="0"/>
        <v>Feb</v>
      </c>
    </row>
    <row r="42" spans="1:12" x14ac:dyDescent="0.3">
      <c r="A42" s="1">
        <v>44967</v>
      </c>
      <c r="B42">
        <v>114</v>
      </c>
      <c r="C42">
        <v>77</v>
      </c>
      <c r="D42">
        <v>37</v>
      </c>
      <c r="E42">
        <v>93.934409465759003</v>
      </c>
      <c r="F42">
        <v>66</v>
      </c>
      <c r="G42">
        <v>47842.509209781398</v>
      </c>
      <c r="H42">
        <v>7253.1692995123503</v>
      </c>
      <c r="I42">
        <v>9</v>
      </c>
      <c r="J42">
        <v>74.896545662639795</v>
      </c>
      <c r="K42">
        <v>4.51801056504386</v>
      </c>
      <c r="L42" t="str">
        <f t="shared" si="0"/>
        <v>Feb</v>
      </c>
    </row>
    <row r="43" spans="1:12" x14ac:dyDescent="0.3">
      <c r="A43" s="1">
        <v>44968</v>
      </c>
      <c r="B43">
        <v>137</v>
      </c>
      <c r="C43">
        <v>80</v>
      </c>
      <c r="D43">
        <v>41</v>
      </c>
      <c r="E43">
        <v>83.067499444387906</v>
      </c>
      <c r="F43">
        <v>59</v>
      </c>
      <c r="G43">
        <v>26738.468355315501</v>
      </c>
      <c r="H43">
        <v>7509.6666134029801</v>
      </c>
      <c r="I43">
        <v>19</v>
      </c>
      <c r="J43">
        <v>81.2528742298922</v>
      </c>
      <c r="K43">
        <v>3.2050319281329398</v>
      </c>
      <c r="L43" t="str">
        <f t="shared" si="0"/>
        <v>Feb</v>
      </c>
    </row>
    <row r="44" spans="1:12" x14ac:dyDescent="0.3">
      <c r="A44" s="1">
        <v>44969</v>
      </c>
      <c r="B44">
        <v>117</v>
      </c>
      <c r="C44">
        <v>79</v>
      </c>
      <c r="D44">
        <v>35</v>
      </c>
      <c r="E44">
        <v>94.535026485250597</v>
      </c>
      <c r="F44">
        <v>55</v>
      </c>
      <c r="G44">
        <v>31165.0107151253</v>
      </c>
      <c r="H44">
        <v>13506.1605784113</v>
      </c>
      <c r="I44">
        <v>15</v>
      </c>
      <c r="J44">
        <v>73.131935976814404</v>
      </c>
      <c r="K44">
        <v>4.0277089284135297</v>
      </c>
      <c r="L44" t="str">
        <f t="shared" si="0"/>
        <v>Feb</v>
      </c>
    </row>
    <row r="45" spans="1:12" x14ac:dyDescent="0.3">
      <c r="A45" s="1">
        <v>44970</v>
      </c>
      <c r="B45">
        <v>111</v>
      </c>
      <c r="C45">
        <v>80</v>
      </c>
      <c r="D45">
        <v>30</v>
      </c>
      <c r="E45">
        <v>73.6062716611182</v>
      </c>
      <c r="F45">
        <v>67</v>
      </c>
      <c r="G45">
        <v>32962.306488325798</v>
      </c>
      <c r="H45">
        <v>10612.2278828252</v>
      </c>
      <c r="I45">
        <v>22</v>
      </c>
      <c r="J45">
        <v>55.878508383528299</v>
      </c>
      <c r="K45">
        <v>4.01778111118211</v>
      </c>
      <c r="L45" t="str">
        <f t="shared" si="0"/>
        <v>Feb</v>
      </c>
    </row>
    <row r="46" spans="1:12" x14ac:dyDescent="0.3">
      <c r="A46" s="1">
        <v>44971</v>
      </c>
      <c r="B46">
        <v>113</v>
      </c>
      <c r="C46">
        <v>83</v>
      </c>
      <c r="D46">
        <v>35</v>
      </c>
      <c r="E46">
        <v>86.334672938825406</v>
      </c>
      <c r="F46">
        <v>62</v>
      </c>
      <c r="G46">
        <v>33182.149690833503</v>
      </c>
      <c r="H46">
        <v>10233.909113743601</v>
      </c>
      <c r="I46">
        <v>9</v>
      </c>
      <c r="J46">
        <v>82.444950797338805</v>
      </c>
      <c r="K46">
        <v>3.7385615404310801</v>
      </c>
      <c r="L46" t="str">
        <f t="shared" si="0"/>
        <v>Feb</v>
      </c>
    </row>
    <row r="47" spans="1:12" x14ac:dyDescent="0.3">
      <c r="A47" s="1">
        <v>44972</v>
      </c>
      <c r="B47">
        <v>140</v>
      </c>
      <c r="C47">
        <v>64</v>
      </c>
      <c r="D47">
        <v>29</v>
      </c>
      <c r="E47">
        <v>70.172759814943603</v>
      </c>
      <c r="F47">
        <v>52</v>
      </c>
      <c r="G47">
        <v>38388.1874748357</v>
      </c>
      <c r="H47">
        <v>6147.6887186921704</v>
      </c>
      <c r="I47">
        <v>9</v>
      </c>
      <c r="J47">
        <v>75.438188286549106</v>
      </c>
      <c r="K47">
        <v>4.8658497251393404</v>
      </c>
      <c r="L47" t="str">
        <f t="shared" si="0"/>
        <v>Feb</v>
      </c>
    </row>
    <row r="48" spans="1:12" x14ac:dyDescent="0.3">
      <c r="A48" s="1">
        <v>44973</v>
      </c>
      <c r="B48">
        <v>124</v>
      </c>
      <c r="C48">
        <v>68</v>
      </c>
      <c r="D48">
        <v>25</v>
      </c>
      <c r="E48">
        <v>79.737574897008102</v>
      </c>
      <c r="F48">
        <v>59</v>
      </c>
      <c r="G48">
        <v>48292.275132341201</v>
      </c>
      <c r="H48">
        <v>13601.396933494299</v>
      </c>
      <c r="I48">
        <v>15</v>
      </c>
      <c r="J48">
        <v>65.526628245079806</v>
      </c>
      <c r="K48">
        <v>4.65501263974644</v>
      </c>
      <c r="L48" t="str">
        <f t="shared" si="0"/>
        <v>Feb</v>
      </c>
    </row>
    <row r="49" spans="1:12" x14ac:dyDescent="0.3">
      <c r="A49" s="1">
        <v>44974</v>
      </c>
      <c r="B49">
        <v>131</v>
      </c>
      <c r="C49">
        <v>69</v>
      </c>
      <c r="D49">
        <v>28</v>
      </c>
      <c r="E49">
        <v>80.993846046141897</v>
      </c>
      <c r="F49">
        <v>63</v>
      </c>
      <c r="G49">
        <v>27220.781354975101</v>
      </c>
      <c r="H49">
        <v>12228.143032084799</v>
      </c>
      <c r="I49">
        <v>15</v>
      </c>
      <c r="J49">
        <v>76.965211821442495</v>
      </c>
      <c r="K49">
        <v>4.39441876381927</v>
      </c>
      <c r="L49" t="str">
        <f t="shared" si="0"/>
        <v>Feb</v>
      </c>
    </row>
    <row r="50" spans="1:12" x14ac:dyDescent="0.3">
      <c r="A50" s="1">
        <v>44975</v>
      </c>
      <c r="B50">
        <v>136</v>
      </c>
      <c r="C50">
        <v>71</v>
      </c>
      <c r="D50">
        <v>26</v>
      </c>
      <c r="E50">
        <v>81.885180748277605</v>
      </c>
      <c r="F50">
        <v>55</v>
      </c>
      <c r="G50">
        <v>23645.0412890275</v>
      </c>
      <c r="H50">
        <v>5676.6836190000104</v>
      </c>
      <c r="I50">
        <v>12</v>
      </c>
      <c r="J50">
        <v>60.396199169713299</v>
      </c>
      <c r="K50">
        <v>4.4286532714699902</v>
      </c>
      <c r="L50" t="str">
        <f t="shared" si="0"/>
        <v>Feb</v>
      </c>
    </row>
    <row r="51" spans="1:12" x14ac:dyDescent="0.3">
      <c r="A51" s="1">
        <v>44976</v>
      </c>
      <c r="B51">
        <v>114</v>
      </c>
      <c r="C51">
        <v>93</v>
      </c>
      <c r="D51">
        <v>16</v>
      </c>
      <c r="E51">
        <v>90.864016200695801</v>
      </c>
      <c r="F51">
        <v>52</v>
      </c>
      <c r="G51">
        <v>25924.1146957981</v>
      </c>
      <c r="H51">
        <v>12078.3509722976</v>
      </c>
      <c r="I51">
        <v>14</v>
      </c>
      <c r="J51">
        <v>63.807688339768397</v>
      </c>
      <c r="K51">
        <v>3.92343228762623</v>
      </c>
      <c r="L51" t="str">
        <f t="shared" si="0"/>
        <v>Feb</v>
      </c>
    </row>
    <row r="52" spans="1:12" x14ac:dyDescent="0.3">
      <c r="A52" s="1">
        <v>44977</v>
      </c>
      <c r="B52">
        <v>111</v>
      </c>
      <c r="C52">
        <v>84</v>
      </c>
      <c r="D52">
        <v>28</v>
      </c>
      <c r="E52">
        <v>81.656743038110307</v>
      </c>
      <c r="F52">
        <v>65</v>
      </c>
      <c r="G52">
        <v>46607.747006277998</v>
      </c>
      <c r="H52">
        <v>10435.3821734264</v>
      </c>
      <c r="I52">
        <v>21</v>
      </c>
      <c r="J52">
        <v>86.699433725279604</v>
      </c>
      <c r="K52">
        <v>4.8419890421931502</v>
      </c>
      <c r="L52" t="str">
        <f t="shared" si="0"/>
        <v>Feb</v>
      </c>
    </row>
    <row r="53" spans="1:12" x14ac:dyDescent="0.3">
      <c r="A53" s="1">
        <v>44978</v>
      </c>
      <c r="B53">
        <v>131</v>
      </c>
      <c r="C53">
        <v>71</v>
      </c>
      <c r="D53">
        <v>35</v>
      </c>
      <c r="E53">
        <v>83.460808678675903</v>
      </c>
      <c r="F53">
        <v>56</v>
      </c>
      <c r="G53">
        <v>39374.3243796561</v>
      </c>
      <c r="H53">
        <v>5817.2534574677802</v>
      </c>
      <c r="I53">
        <v>16</v>
      </c>
      <c r="J53">
        <v>61.620180226856803</v>
      </c>
      <c r="K53">
        <v>4.3891908545065697</v>
      </c>
      <c r="L53" t="str">
        <f t="shared" si="0"/>
        <v>Feb</v>
      </c>
    </row>
    <row r="54" spans="1:12" x14ac:dyDescent="0.3">
      <c r="A54" s="1">
        <v>44979</v>
      </c>
      <c r="B54">
        <v>117</v>
      </c>
      <c r="C54">
        <v>70</v>
      </c>
      <c r="D54">
        <v>29</v>
      </c>
      <c r="E54">
        <v>77.126323926229801</v>
      </c>
      <c r="F54">
        <v>69</v>
      </c>
      <c r="G54">
        <v>28577.203677174799</v>
      </c>
      <c r="H54">
        <v>9583.0064152865598</v>
      </c>
      <c r="I54">
        <v>19</v>
      </c>
      <c r="J54">
        <v>68.7995307263174</v>
      </c>
      <c r="K54">
        <v>4.4579621233116304</v>
      </c>
      <c r="L54" t="str">
        <f t="shared" si="0"/>
        <v>Feb</v>
      </c>
    </row>
    <row r="55" spans="1:12" x14ac:dyDescent="0.3">
      <c r="A55" s="1">
        <v>44980</v>
      </c>
      <c r="B55">
        <v>105</v>
      </c>
      <c r="C55">
        <v>70</v>
      </c>
      <c r="D55">
        <v>41</v>
      </c>
      <c r="E55">
        <v>81.197553748880196</v>
      </c>
      <c r="F55">
        <v>63</v>
      </c>
      <c r="G55">
        <v>44478.408169058501</v>
      </c>
      <c r="H55">
        <v>9846.9628713004695</v>
      </c>
      <c r="I55">
        <v>17</v>
      </c>
      <c r="J55">
        <v>85.605645495840506</v>
      </c>
      <c r="K55">
        <v>4.7233818075746896</v>
      </c>
      <c r="L55" t="str">
        <f t="shared" si="0"/>
        <v>Feb</v>
      </c>
    </row>
    <row r="56" spans="1:12" x14ac:dyDescent="0.3">
      <c r="A56" s="1">
        <v>44981</v>
      </c>
      <c r="B56">
        <v>143</v>
      </c>
      <c r="C56">
        <v>68</v>
      </c>
      <c r="D56">
        <v>32</v>
      </c>
      <c r="E56">
        <v>76.818088817894505</v>
      </c>
      <c r="F56">
        <v>58</v>
      </c>
      <c r="G56">
        <v>45841.099890903002</v>
      </c>
      <c r="H56">
        <v>6657.7454016327501</v>
      </c>
      <c r="I56">
        <v>12</v>
      </c>
      <c r="J56">
        <v>78.308854010701097</v>
      </c>
      <c r="K56">
        <v>3.5481431786843798</v>
      </c>
      <c r="L56" t="str">
        <f t="shared" si="0"/>
        <v>Feb</v>
      </c>
    </row>
    <row r="57" spans="1:12" x14ac:dyDescent="0.3">
      <c r="A57" s="1">
        <v>44982</v>
      </c>
      <c r="B57">
        <v>121</v>
      </c>
      <c r="C57">
        <v>72</v>
      </c>
      <c r="D57">
        <v>41</v>
      </c>
      <c r="E57">
        <v>72.195877713053306</v>
      </c>
      <c r="F57">
        <v>64</v>
      </c>
      <c r="G57">
        <v>45395.430160708303</v>
      </c>
      <c r="H57">
        <v>14456.9814700028</v>
      </c>
      <c r="I57">
        <v>16</v>
      </c>
      <c r="J57">
        <v>52.488129046588099</v>
      </c>
      <c r="K57">
        <v>4.6141418077334002</v>
      </c>
      <c r="L57" t="str">
        <f t="shared" si="0"/>
        <v>Feb</v>
      </c>
    </row>
    <row r="58" spans="1:12" x14ac:dyDescent="0.3">
      <c r="A58" s="1">
        <v>44983</v>
      </c>
      <c r="B58">
        <v>116</v>
      </c>
      <c r="C58">
        <v>80</v>
      </c>
      <c r="D58">
        <v>32</v>
      </c>
      <c r="E58">
        <v>88.103457801441294</v>
      </c>
      <c r="F58">
        <v>52</v>
      </c>
      <c r="G58">
        <v>47567.796009186597</v>
      </c>
      <c r="H58">
        <v>13499.7537148066</v>
      </c>
      <c r="I58">
        <v>9</v>
      </c>
      <c r="J58">
        <v>55.892121771158799</v>
      </c>
      <c r="K58">
        <v>3.3904812059129799</v>
      </c>
      <c r="L58" t="str">
        <f t="shared" si="0"/>
        <v>Feb</v>
      </c>
    </row>
    <row r="59" spans="1:12" x14ac:dyDescent="0.3">
      <c r="A59" s="1">
        <v>44984</v>
      </c>
      <c r="B59">
        <v>149</v>
      </c>
      <c r="C59">
        <v>83</v>
      </c>
      <c r="D59">
        <v>25</v>
      </c>
      <c r="E59">
        <v>90.046383956650402</v>
      </c>
      <c r="F59">
        <v>51</v>
      </c>
      <c r="G59">
        <v>27567.230605200799</v>
      </c>
      <c r="H59">
        <v>11690.223373291001</v>
      </c>
      <c r="I59">
        <v>14</v>
      </c>
      <c r="J59">
        <v>50.313663630876597</v>
      </c>
      <c r="K59">
        <v>3.6906839044897701</v>
      </c>
      <c r="L59" t="str">
        <f t="shared" si="0"/>
        <v>Feb</v>
      </c>
    </row>
    <row r="60" spans="1:12" x14ac:dyDescent="0.3">
      <c r="A60" s="1">
        <v>44985</v>
      </c>
      <c r="B60">
        <v>120</v>
      </c>
      <c r="C60">
        <v>62</v>
      </c>
      <c r="D60">
        <v>25</v>
      </c>
      <c r="E60">
        <v>88.584710380288399</v>
      </c>
      <c r="F60">
        <v>51</v>
      </c>
      <c r="G60">
        <v>42651.257862388302</v>
      </c>
      <c r="H60">
        <v>9622.9556100060709</v>
      </c>
      <c r="I60">
        <v>10</v>
      </c>
      <c r="J60">
        <v>75.236871609166499</v>
      </c>
      <c r="K60">
        <v>3.6712209085396799</v>
      </c>
      <c r="L60" t="str">
        <f t="shared" si="0"/>
        <v>Feb</v>
      </c>
    </row>
    <row r="61" spans="1:12" x14ac:dyDescent="0.3">
      <c r="A61" s="1">
        <v>44986</v>
      </c>
      <c r="B61">
        <v>113</v>
      </c>
      <c r="C61">
        <v>89</v>
      </c>
      <c r="D61">
        <v>35</v>
      </c>
      <c r="E61">
        <v>83.904821314017099</v>
      </c>
      <c r="F61">
        <v>52</v>
      </c>
      <c r="G61">
        <v>33816.1849182242</v>
      </c>
      <c r="H61">
        <v>9117.6554158450799</v>
      </c>
      <c r="I61">
        <v>18</v>
      </c>
      <c r="J61">
        <v>67.906937016416705</v>
      </c>
      <c r="K61">
        <v>4.9570509367782796</v>
      </c>
      <c r="L61" t="str">
        <f t="shared" si="0"/>
        <v>Mar</v>
      </c>
    </row>
    <row r="62" spans="1:12" x14ac:dyDescent="0.3">
      <c r="A62" s="1">
        <v>44987</v>
      </c>
      <c r="B62">
        <v>123</v>
      </c>
      <c r="C62">
        <v>71</v>
      </c>
      <c r="D62">
        <v>28</v>
      </c>
      <c r="E62">
        <v>81.393573405376898</v>
      </c>
      <c r="F62">
        <v>67</v>
      </c>
      <c r="G62">
        <v>45259.956586701803</v>
      </c>
      <c r="H62">
        <v>11509.734671509499</v>
      </c>
      <c r="I62">
        <v>8</v>
      </c>
      <c r="J62">
        <v>55.370994036090998</v>
      </c>
      <c r="K62">
        <v>4.7130744474958499</v>
      </c>
      <c r="L62" t="str">
        <f t="shared" si="0"/>
        <v>Mar</v>
      </c>
    </row>
    <row r="63" spans="1:12" x14ac:dyDescent="0.3">
      <c r="A63" s="1">
        <v>44988</v>
      </c>
      <c r="B63">
        <v>96</v>
      </c>
      <c r="C63">
        <v>77</v>
      </c>
      <c r="D63">
        <v>33</v>
      </c>
      <c r="E63">
        <v>95.900009487154705</v>
      </c>
      <c r="F63">
        <v>63</v>
      </c>
      <c r="G63">
        <v>41854.720314848397</v>
      </c>
      <c r="H63">
        <v>10454.318694068999</v>
      </c>
      <c r="I63">
        <v>23</v>
      </c>
      <c r="J63">
        <v>88.317364842270806</v>
      </c>
      <c r="K63">
        <v>4.4023397231805097</v>
      </c>
      <c r="L63" t="str">
        <f t="shared" si="0"/>
        <v>Mar</v>
      </c>
    </row>
    <row r="64" spans="1:12" x14ac:dyDescent="0.3">
      <c r="A64" s="1">
        <v>44989</v>
      </c>
      <c r="B64">
        <v>137</v>
      </c>
      <c r="C64">
        <v>83</v>
      </c>
      <c r="D64">
        <v>36</v>
      </c>
      <c r="E64">
        <v>85.572453554086493</v>
      </c>
      <c r="F64">
        <v>69</v>
      </c>
      <c r="G64">
        <v>43293.423394991703</v>
      </c>
      <c r="H64">
        <v>5622.7310588188502</v>
      </c>
      <c r="I64">
        <v>17</v>
      </c>
      <c r="J64">
        <v>71.186388957824704</v>
      </c>
      <c r="K64">
        <v>4.45411352323078</v>
      </c>
      <c r="L64" t="str">
        <f t="shared" si="0"/>
        <v>Mar</v>
      </c>
    </row>
    <row r="65" spans="1:12" x14ac:dyDescent="0.3">
      <c r="A65" s="1">
        <v>44990</v>
      </c>
      <c r="B65">
        <v>107</v>
      </c>
      <c r="C65">
        <v>79</v>
      </c>
      <c r="D65">
        <v>25</v>
      </c>
      <c r="E65">
        <v>84.3754563288919</v>
      </c>
      <c r="F65">
        <v>67</v>
      </c>
      <c r="G65">
        <v>39684.855130432101</v>
      </c>
      <c r="H65">
        <v>10125.026487703301</v>
      </c>
      <c r="I65">
        <v>16</v>
      </c>
      <c r="J65">
        <v>59.675731764515497</v>
      </c>
      <c r="K65">
        <v>4.1241455888051402</v>
      </c>
      <c r="L65" t="str">
        <f t="shared" si="0"/>
        <v>Mar</v>
      </c>
    </row>
    <row r="66" spans="1:12" x14ac:dyDescent="0.3">
      <c r="A66" s="1">
        <v>44991</v>
      </c>
      <c r="B66">
        <v>126</v>
      </c>
      <c r="C66">
        <v>56</v>
      </c>
      <c r="D66">
        <v>31</v>
      </c>
      <c r="E66">
        <v>70.769261974193</v>
      </c>
      <c r="F66">
        <v>59</v>
      </c>
      <c r="G66">
        <v>25322.863084091201</v>
      </c>
      <c r="H66">
        <v>13064.0361723283</v>
      </c>
      <c r="I66">
        <v>16</v>
      </c>
      <c r="J66">
        <v>70.024142846188298</v>
      </c>
      <c r="K66">
        <v>4.8941813342170297</v>
      </c>
      <c r="L66" t="str">
        <f t="shared" si="0"/>
        <v>Mar</v>
      </c>
    </row>
    <row r="67" spans="1:12" x14ac:dyDescent="0.3">
      <c r="A67" s="1">
        <v>44992</v>
      </c>
      <c r="B67">
        <v>111</v>
      </c>
      <c r="C67">
        <v>80</v>
      </c>
      <c r="D67">
        <v>26</v>
      </c>
      <c r="E67">
        <v>80.2374348287846</v>
      </c>
      <c r="F67">
        <v>51</v>
      </c>
      <c r="G67">
        <v>36350.807566908101</v>
      </c>
      <c r="H67">
        <v>9592.3987759695792</v>
      </c>
      <c r="I67">
        <v>18</v>
      </c>
      <c r="J67">
        <v>77.184813309404305</v>
      </c>
      <c r="K67">
        <v>3.9925175057647202</v>
      </c>
      <c r="L67" t="str">
        <f t="shared" ref="L67:L130" si="1">TEXT(A67,"mmm")</f>
        <v>Mar</v>
      </c>
    </row>
    <row r="68" spans="1:12" x14ac:dyDescent="0.3">
      <c r="A68" s="1">
        <v>44993</v>
      </c>
      <c r="B68">
        <v>116</v>
      </c>
      <c r="C68">
        <v>67</v>
      </c>
      <c r="D68">
        <v>33</v>
      </c>
      <c r="E68">
        <v>81.405868563575694</v>
      </c>
      <c r="F68">
        <v>50</v>
      </c>
      <c r="G68">
        <v>49540.0921857352</v>
      </c>
      <c r="H68">
        <v>5519.5657755426801</v>
      </c>
      <c r="I68">
        <v>21</v>
      </c>
      <c r="J68">
        <v>53.049568718942503</v>
      </c>
      <c r="K68">
        <v>3.76103541973978</v>
      </c>
      <c r="L68" t="str">
        <f t="shared" si="1"/>
        <v>Mar</v>
      </c>
    </row>
    <row r="69" spans="1:12" x14ac:dyDescent="0.3">
      <c r="A69" s="1">
        <v>44994</v>
      </c>
      <c r="B69">
        <v>124</v>
      </c>
      <c r="C69">
        <v>81</v>
      </c>
      <c r="D69">
        <v>21</v>
      </c>
      <c r="E69">
        <v>81.964683426907001</v>
      </c>
      <c r="F69">
        <v>53</v>
      </c>
      <c r="G69">
        <v>48121.641994913502</v>
      </c>
      <c r="H69">
        <v>12862.781993840301</v>
      </c>
      <c r="I69">
        <v>15</v>
      </c>
      <c r="J69">
        <v>60.988152601915601</v>
      </c>
      <c r="K69">
        <v>3.32607067386318</v>
      </c>
      <c r="L69" t="str">
        <f t="shared" si="1"/>
        <v>Mar</v>
      </c>
    </row>
    <row r="70" spans="1:12" x14ac:dyDescent="0.3">
      <c r="A70" s="1">
        <v>44995</v>
      </c>
      <c r="B70">
        <v>102</v>
      </c>
      <c r="C70">
        <v>74</v>
      </c>
      <c r="D70">
        <v>28</v>
      </c>
      <c r="E70">
        <v>87.405171076819897</v>
      </c>
      <c r="F70">
        <v>63</v>
      </c>
      <c r="G70">
        <v>21295.212073910301</v>
      </c>
      <c r="H70">
        <v>7013.63782135974</v>
      </c>
      <c r="I70">
        <v>12</v>
      </c>
      <c r="J70">
        <v>82.278619635359703</v>
      </c>
      <c r="K70">
        <v>4.5724113045221104</v>
      </c>
      <c r="L70" t="str">
        <f t="shared" si="1"/>
        <v>Mar</v>
      </c>
    </row>
    <row r="71" spans="1:12" x14ac:dyDescent="0.3">
      <c r="A71" s="1">
        <v>44996</v>
      </c>
      <c r="B71">
        <v>114</v>
      </c>
      <c r="C71">
        <v>72</v>
      </c>
      <c r="D71">
        <v>34</v>
      </c>
      <c r="E71">
        <v>86.008076401806306</v>
      </c>
      <c r="F71">
        <v>50</v>
      </c>
      <c r="G71">
        <v>24944.4444718831</v>
      </c>
      <c r="H71">
        <v>7586.2083488803801</v>
      </c>
      <c r="I71">
        <v>16</v>
      </c>
      <c r="J71">
        <v>68.386594816106395</v>
      </c>
      <c r="K71">
        <v>4.4688878641511796</v>
      </c>
      <c r="L71" t="str">
        <f t="shared" si="1"/>
        <v>Mar</v>
      </c>
    </row>
    <row r="72" spans="1:12" x14ac:dyDescent="0.3">
      <c r="A72" s="1">
        <v>44997</v>
      </c>
      <c r="B72">
        <v>126</v>
      </c>
      <c r="C72">
        <v>68</v>
      </c>
      <c r="D72">
        <v>21</v>
      </c>
      <c r="E72">
        <v>88.237152783803296</v>
      </c>
      <c r="F72">
        <v>63</v>
      </c>
      <c r="G72">
        <v>23951.8632036368</v>
      </c>
      <c r="H72">
        <v>6647.0635343229496</v>
      </c>
      <c r="I72">
        <v>10</v>
      </c>
      <c r="J72">
        <v>71.863085681291693</v>
      </c>
      <c r="K72">
        <v>3.7687100770482602</v>
      </c>
      <c r="L72" t="str">
        <f t="shared" si="1"/>
        <v>Mar</v>
      </c>
    </row>
    <row r="73" spans="1:12" x14ac:dyDescent="0.3">
      <c r="A73" s="1">
        <v>44998</v>
      </c>
      <c r="B73">
        <v>120</v>
      </c>
      <c r="C73">
        <v>82</v>
      </c>
      <c r="D73">
        <v>33</v>
      </c>
      <c r="E73">
        <v>92.946497846263796</v>
      </c>
      <c r="F73">
        <v>65</v>
      </c>
      <c r="G73">
        <v>41779.397299558797</v>
      </c>
      <c r="H73">
        <v>8302.1506487149709</v>
      </c>
      <c r="I73">
        <v>13</v>
      </c>
      <c r="J73">
        <v>67.3126400883787</v>
      </c>
      <c r="K73">
        <v>3.0503868279184498</v>
      </c>
      <c r="L73" t="str">
        <f t="shared" si="1"/>
        <v>Mar</v>
      </c>
    </row>
    <row r="74" spans="1:12" x14ac:dyDescent="0.3">
      <c r="A74" s="1">
        <v>44999</v>
      </c>
      <c r="B74">
        <v>125</v>
      </c>
      <c r="C74">
        <v>88</v>
      </c>
      <c r="D74">
        <v>37</v>
      </c>
      <c r="E74">
        <v>94.389572161482803</v>
      </c>
      <c r="F74">
        <v>63</v>
      </c>
      <c r="G74">
        <v>44533.559895708298</v>
      </c>
      <c r="H74">
        <v>12567.515056886299</v>
      </c>
      <c r="I74">
        <v>17</v>
      </c>
      <c r="J74">
        <v>51.755997705720198</v>
      </c>
      <c r="K74">
        <v>4.6779946554360201</v>
      </c>
      <c r="L74" t="str">
        <f t="shared" si="1"/>
        <v>Mar</v>
      </c>
    </row>
    <row r="75" spans="1:12" x14ac:dyDescent="0.3">
      <c r="A75" s="1">
        <v>45000</v>
      </c>
      <c r="B75">
        <v>126</v>
      </c>
      <c r="C75">
        <v>65</v>
      </c>
      <c r="D75">
        <v>30</v>
      </c>
      <c r="E75">
        <v>91.543692286794794</v>
      </c>
      <c r="F75">
        <v>69</v>
      </c>
      <c r="G75">
        <v>26405.340989320099</v>
      </c>
      <c r="H75">
        <v>10193.858595039301</v>
      </c>
      <c r="I75">
        <v>17</v>
      </c>
      <c r="J75">
        <v>56.629991192806202</v>
      </c>
      <c r="K75">
        <v>3.0228359669081399</v>
      </c>
      <c r="L75" t="str">
        <f t="shared" si="1"/>
        <v>Mar</v>
      </c>
    </row>
    <row r="76" spans="1:12" x14ac:dyDescent="0.3">
      <c r="A76" s="1">
        <v>45001</v>
      </c>
      <c r="B76">
        <v>141</v>
      </c>
      <c r="C76">
        <v>82</v>
      </c>
      <c r="D76">
        <v>36</v>
      </c>
      <c r="E76">
        <v>98.665710878647999</v>
      </c>
      <c r="F76">
        <v>52</v>
      </c>
      <c r="G76">
        <v>35175.580788554798</v>
      </c>
      <c r="H76">
        <v>7048.8127415071203</v>
      </c>
      <c r="I76">
        <v>13</v>
      </c>
      <c r="J76">
        <v>67.8216655496756</v>
      </c>
      <c r="K76">
        <v>4.4073995592581001</v>
      </c>
      <c r="L76" t="str">
        <f t="shared" si="1"/>
        <v>Mar</v>
      </c>
    </row>
    <row r="77" spans="1:12" x14ac:dyDescent="0.3">
      <c r="A77" s="1">
        <v>45002</v>
      </c>
      <c r="B77">
        <v>115</v>
      </c>
      <c r="C77">
        <v>78</v>
      </c>
      <c r="D77">
        <v>33</v>
      </c>
      <c r="E77">
        <v>70.546977480290806</v>
      </c>
      <c r="F77">
        <v>52</v>
      </c>
      <c r="G77">
        <v>45221.090840336001</v>
      </c>
      <c r="H77">
        <v>13778.3007815204</v>
      </c>
      <c r="I77">
        <v>14</v>
      </c>
      <c r="J77">
        <v>58.367418616317103</v>
      </c>
      <c r="K77">
        <v>4.9405142194521101</v>
      </c>
      <c r="L77" t="str">
        <f t="shared" si="1"/>
        <v>Mar</v>
      </c>
    </row>
    <row r="78" spans="1:12" x14ac:dyDescent="0.3">
      <c r="A78" s="1">
        <v>45003</v>
      </c>
      <c r="B78">
        <v>139</v>
      </c>
      <c r="C78">
        <v>74</v>
      </c>
      <c r="D78">
        <v>26</v>
      </c>
      <c r="E78">
        <v>75.873339570506303</v>
      </c>
      <c r="F78">
        <v>58</v>
      </c>
      <c r="G78">
        <v>41984.046342987502</v>
      </c>
      <c r="H78">
        <v>13795.818549515199</v>
      </c>
      <c r="I78">
        <v>21</v>
      </c>
      <c r="J78">
        <v>51.999161146387102</v>
      </c>
      <c r="K78">
        <v>3.8753226562964</v>
      </c>
      <c r="L78" t="str">
        <f t="shared" si="1"/>
        <v>Mar</v>
      </c>
    </row>
    <row r="79" spans="1:12" x14ac:dyDescent="0.3">
      <c r="A79" s="1">
        <v>45004</v>
      </c>
      <c r="B79">
        <v>112</v>
      </c>
      <c r="C79">
        <v>84</v>
      </c>
      <c r="D79">
        <v>35</v>
      </c>
      <c r="E79">
        <v>70.226886249344204</v>
      </c>
      <c r="F79">
        <v>55</v>
      </c>
      <c r="G79">
        <v>36267.116164755404</v>
      </c>
      <c r="H79">
        <v>13705.784250459999</v>
      </c>
      <c r="I79">
        <v>13</v>
      </c>
      <c r="J79">
        <v>83.7459865620729</v>
      </c>
      <c r="K79">
        <v>3.4699468099919</v>
      </c>
      <c r="L79" t="str">
        <f t="shared" si="1"/>
        <v>Mar</v>
      </c>
    </row>
    <row r="80" spans="1:12" x14ac:dyDescent="0.3">
      <c r="A80" s="1">
        <v>45005</v>
      </c>
      <c r="B80">
        <v>131</v>
      </c>
      <c r="C80">
        <v>83</v>
      </c>
      <c r="D80">
        <v>33</v>
      </c>
      <c r="E80">
        <v>89.424241424638097</v>
      </c>
      <c r="F80">
        <v>62</v>
      </c>
      <c r="G80">
        <v>37710.430713763097</v>
      </c>
      <c r="H80">
        <v>7387.9621138153898</v>
      </c>
      <c r="I80">
        <v>13</v>
      </c>
      <c r="J80">
        <v>89.247701166564596</v>
      </c>
      <c r="K80">
        <v>4.4097420200867603</v>
      </c>
      <c r="L80" t="str">
        <f t="shared" si="1"/>
        <v>Mar</v>
      </c>
    </row>
    <row r="81" spans="1:12" x14ac:dyDescent="0.3">
      <c r="A81" s="1">
        <v>45006</v>
      </c>
      <c r="B81">
        <v>121</v>
      </c>
      <c r="C81">
        <v>66</v>
      </c>
      <c r="D81">
        <v>33</v>
      </c>
      <c r="E81">
        <v>96.940916468499594</v>
      </c>
      <c r="F81">
        <v>51</v>
      </c>
      <c r="G81">
        <v>35250.816407488397</v>
      </c>
      <c r="H81">
        <v>9512.3934418098797</v>
      </c>
      <c r="I81">
        <v>17</v>
      </c>
      <c r="J81">
        <v>81.725714959869507</v>
      </c>
      <c r="K81">
        <v>4.6342562840311698</v>
      </c>
      <c r="L81" t="str">
        <f t="shared" si="1"/>
        <v>Mar</v>
      </c>
    </row>
    <row r="82" spans="1:12" x14ac:dyDescent="0.3">
      <c r="A82" s="1">
        <v>45007</v>
      </c>
      <c r="B82">
        <v>103</v>
      </c>
      <c r="C82">
        <v>73</v>
      </c>
      <c r="D82">
        <v>32</v>
      </c>
      <c r="E82">
        <v>77.304468897288899</v>
      </c>
      <c r="F82">
        <v>57</v>
      </c>
      <c r="G82">
        <v>28926.453539564602</v>
      </c>
      <c r="H82">
        <v>14849.896561408699</v>
      </c>
      <c r="I82">
        <v>13</v>
      </c>
      <c r="J82">
        <v>84.151396868186595</v>
      </c>
      <c r="K82">
        <v>4.0928606321556904</v>
      </c>
      <c r="L82" t="str">
        <f t="shared" si="1"/>
        <v>Mar</v>
      </c>
    </row>
    <row r="83" spans="1:12" x14ac:dyDescent="0.3">
      <c r="A83" s="1">
        <v>45008</v>
      </c>
      <c r="B83">
        <v>137</v>
      </c>
      <c r="C83">
        <v>71</v>
      </c>
      <c r="D83">
        <v>24</v>
      </c>
      <c r="E83">
        <v>97.811036343889199</v>
      </c>
      <c r="F83">
        <v>51</v>
      </c>
      <c r="G83">
        <v>36950.659785770396</v>
      </c>
      <c r="H83">
        <v>12720.124763099901</v>
      </c>
      <c r="I83">
        <v>14</v>
      </c>
      <c r="J83">
        <v>59.679085212681798</v>
      </c>
      <c r="K83">
        <v>4.9340705505122902</v>
      </c>
      <c r="L83" t="str">
        <f t="shared" si="1"/>
        <v>Mar</v>
      </c>
    </row>
    <row r="84" spans="1:12" x14ac:dyDescent="0.3">
      <c r="A84" s="1">
        <v>45009</v>
      </c>
      <c r="B84">
        <v>115</v>
      </c>
      <c r="C84">
        <v>65</v>
      </c>
      <c r="D84">
        <v>37</v>
      </c>
      <c r="E84">
        <v>71.808021708686795</v>
      </c>
      <c r="F84">
        <v>53</v>
      </c>
      <c r="G84">
        <v>40666.559061502703</v>
      </c>
      <c r="H84">
        <v>5271.6742122555897</v>
      </c>
      <c r="I84">
        <v>21</v>
      </c>
      <c r="J84">
        <v>88.425079020527903</v>
      </c>
      <c r="K84">
        <v>3.1033374433159202</v>
      </c>
      <c r="L84" t="str">
        <f t="shared" si="1"/>
        <v>Mar</v>
      </c>
    </row>
    <row r="85" spans="1:12" x14ac:dyDescent="0.3">
      <c r="A85" s="1">
        <v>45010</v>
      </c>
      <c r="B85">
        <v>127</v>
      </c>
      <c r="C85">
        <v>78</v>
      </c>
      <c r="D85">
        <v>36</v>
      </c>
      <c r="E85">
        <v>98.033080804165394</v>
      </c>
      <c r="F85">
        <v>64</v>
      </c>
      <c r="G85">
        <v>46199.687475824197</v>
      </c>
      <c r="H85">
        <v>5652.04591260492</v>
      </c>
      <c r="I85">
        <v>10</v>
      </c>
      <c r="J85">
        <v>57.877028178137103</v>
      </c>
      <c r="K85">
        <v>4.0095911966090503</v>
      </c>
      <c r="L85" t="str">
        <f t="shared" si="1"/>
        <v>Mar</v>
      </c>
    </row>
    <row r="86" spans="1:12" x14ac:dyDescent="0.3">
      <c r="A86" s="1">
        <v>45011</v>
      </c>
      <c r="B86">
        <v>135</v>
      </c>
      <c r="C86">
        <v>67</v>
      </c>
      <c r="D86">
        <v>27</v>
      </c>
      <c r="E86">
        <v>80.548680617189007</v>
      </c>
      <c r="F86">
        <v>53</v>
      </c>
      <c r="G86">
        <v>39088.7406193774</v>
      </c>
      <c r="H86">
        <v>9639.3137681233202</v>
      </c>
      <c r="I86">
        <v>17</v>
      </c>
      <c r="J86">
        <v>88.057192414473207</v>
      </c>
      <c r="K86">
        <v>4.4369078946450999</v>
      </c>
      <c r="L86" t="str">
        <f t="shared" si="1"/>
        <v>Mar</v>
      </c>
    </row>
    <row r="87" spans="1:12" x14ac:dyDescent="0.3">
      <c r="A87" s="1">
        <v>45012</v>
      </c>
      <c r="B87">
        <v>125</v>
      </c>
      <c r="C87">
        <v>89</v>
      </c>
      <c r="D87">
        <v>24</v>
      </c>
      <c r="E87">
        <v>73.042624853476497</v>
      </c>
      <c r="F87">
        <v>62</v>
      </c>
      <c r="G87">
        <v>42833.6461112947</v>
      </c>
      <c r="H87">
        <v>14092.2020586156</v>
      </c>
      <c r="I87">
        <v>13</v>
      </c>
      <c r="J87">
        <v>89.792771758637997</v>
      </c>
      <c r="K87">
        <v>4.7252809422983502</v>
      </c>
      <c r="L87" t="str">
        <f t="shared" si="1"/>
        <v>Mar</v>
      </c>
    </row>
    <row r="88" spans="1:12" x14ac:dyDescent="0.3">
      <c r="A88" s="1">
        <v>45013</v>
      </c>
      <c r="B88">
        <v>108</v>
      </c>
      <c r="C88">
        <v>70</v>
      </c>
      <c r="D88">
        <v>36</v>
      </c>
      <c r="E88">
        <v>84.576152775589705</v>
      </c>
      <c r="F88">
        <v>61</v>
      </c>
      <c r="G88">
        <v>24802.1490486371</v>
      </c>
      <c r="H88">
        <v>10387.0179795271</v>
      </c>
      <c r="I88">
        <v>14</v>
      </c>
      <c r="J88">
        <v>78.468912229841905</v>
      </c>
      <c r="K88">
        <v>3.3585112238155799</v>
      </c>
      <c r="L88" t="str">
        <f t="shared" si="1"/>
        <v>Mar</v>
      </c>
    </row>
    <row r="89" spans="1:12" x14ac:dyDescent="0.3">
      <c r="A89" s="1">
        <v>45014</v>
      </c>
      <c r="B89">
        <v>123</v>
      </c>
      <c r="C89">
        <v>96</v>
      </c>
      <c r="D89">
        <v>32</v>
      </c>
      <c r="E89">
        <v>77.703297031615193</v>
      </c>
      <c r="F89">
        <v>62</v>
      </c>
      <c r="G89">
        <v>33846.724232593697</v>
      </c>
      <c r="H89">
        <v>9978.1250803428993</v>
      </c>
      <c r="I89">
        <v>17</v>
      </c>
      <c r="J89">
        <v>89.245749271672807</v>
      </c>
      <c r="K89">
        <v>4.6000069635273597</v>
      </c>
      <c r="L89" t="str">
        <f t="shared" si="1"/>
        <v>Mar</v>
      </c>
    </row>
    <row r="90" spans="1:12" x14ac:dyDescent="0.3">
      <c r="A90" s="1">
        <v>45015</v>
      </c>
      <c r="B90">
        <v>103</v>
      </c>
      <c r="C90">
        <v>82</v>
      </c>
      <c r="D90">
        <v>32</v>
      </c>
      <c r="E90">
        <v>78.546187058857598</v>
      </c>
      <c r="F90">
        <v>63</v>
      </c>
      <c r="G90">
        <v>20279.948594812799</v>
      </c>
      <c r="H90">
        <v>6054.7369995663003</v>
      </c>
      <c r="I90">
        <v>13</v>
      </c>
      <c r="J90">
        <v>72.781591182684096</v>
      </c>
      <c r="K90">
        <v>4.1054141514370901</v>
      </c>
      <c r="L90" t="str">
        <f t="shared" si="1"/>
        <v>Mar</v>
      </c>
    </row>
    <row r="91" spans="1:12" x14ac:dyDescent="0.3">
      <c r="A91" s="1">
        <v>45016</v>
      </c>
      <c r="B91">
        <v>121</v>
      </c>
      <c r="C91">
        <v>88</v>
      </c>
      <c r="D91">
        <v>35</v>
      </c>
      <c r="E91">
        <v>79.218698947788596</v>
      </c>
      <c r="F91">
        <v>69</v>
      </c>
      <c r="G91">
        <v>27400.365935648599</v>
      </c>
      <c r="H91">
        <v>11567.8010472429</v>
      </c>
      <c r="I91">
        <v>17</v>
      </c>
      <c r="J91">
        <v>60.381671327043598</v>
      </c>
      <c r="K91">
        <v>3.79310736397992</v>
      </c>
      <c r="L91" t="str">
        <f t="shared" si="1"/>
        <v>Mar</v>
      </c>
    </row>
    <row r="92" spans="1:12" x14ac:dyDescent="0.3">
      <c r="A92" s="1">
        <v>45017</v>
      </c>
      <c r="B92">
        <v>125</v>
      </c>
      <c r="C92">
        <v>75</v>
      </c>
      <c r="D92">
        <v>34</v>
      </c>
      <c r="E92">
        <v>94.0907769349799</v>
      </c>
      <c r="F92">
        <v>67</v>
      </c>
      <c r="G92">
        <v>41793.851453390103</v>
      </c>
      <c r="H92">
        <v>13221.0316060022</v>
      </c>
      <c r="I92">
        <v>15</v>
      </c>
      <c r="J92">
        <v>67.479835426624803</v>
      </c>
      <c r="K92">
        <v>3.26343005715818</v>
      </c>
      <c r="L92" t="str">
        <f t="shared" si="1"/>
        <v>Apr</v>
      </c>
    </row>
    <row r="93" spans="1:12" x14ac:dyDescent="0.3">
      <c r="A93" s="1">
        <v>45018</v>
      </c>
      <c r="B93">
        <v>127</v>
      </c>
      <c r="C93">
        <v>80</v>
      </c>
      <c r="D93">
        <v>44</v>
      </c>
      <c r="E93">
        <v>86.174838300257605</v>
      </c>
      <c r="F93">
        <v>55</v>
      </c>
      <c r="G93">
        <v>49754.298540480901</v>
      </c>
      <c r="H93">
        <v>8804.2000750756197</v>
      </c>
      <c r="I93">
        <v>14</v>
      </c>
      <c r="J93">
        <v>73.7424374151514</v>
      </c>
      <c r="K93">
        <v>4.7305915178178202</v>
      </c>
      <c r="L93" t="str">
        <f t="shared" si="1"/>
        <v>Apr</v>
      </c>
    </row>
    <row r="94" spans="1:12" x14ac:dyDescent="0.3">
      <c r="A94" s="1">
        <v>45019</v>
      </c>
      <c r="B94">
        <v>114</v>
      </c>
      <c r="C94">
        <v>67</v>
      </c>
      <c r="D94">
        <v>22</v>
      </c>
      <c r="E94">
        <v>79.339230974680106</v>
      </c>
      <c r="F94">
        <v>60</v>
      </c>
      <c r="G94">
        <v>22975.342987616401</v>
      </c>
      <c r="H94">
        <v>12756.1185092532</v>
      </c>
      <c r="I94">
        <v>10</v>
      </c>
      <c r="J94">
        <v>52.923262481080599</v>
      </c>
      <c r="K94">
        <v>3.31454641635943</v>
      </c>
      <c r="L94" t="str">
        <f t="shared" si="1"/>
        <v>Apr</v>
      </c>
    </row>
    <row r="95" spans="1:12" x14ac:dyDescent="0.3">
      <c r="A95" s="1">
        <v>45020</v>
      </c>
      <c r="B95">
        <v>125</v>
      </c>
      <c r="C95">
        <v>74</v>
      </c>
      <c r="D95">
        <v>33</v>
      </c>
      <c r="E95">
        <v>88.310013499327496</v>
      </c>
      <c r="F95">
        <v>51</v>
      </c>
      <c r="G95">
        <v>32044.8294758386</v>
      </c>
      <c r="H95">
        <v>14644.7665390081</v>
      </c>
      <c r="I95">
        <v>18</v>
      </c>
      <c r="J95">
        <v>74.893730584689806</v>
      </c>
      <c r="K95">
        <v>3.61957571841819</v>
      </c>
      <c r="L95" t="str">
        <f t="shared" si="1"/>
        <v>Apr</v>
      </c>
    </row>
    <row r="96" spans="1:12" x14ac:dyDescent="0.3">
      <c r="A96" s="1">
        <v>45021</v>
      </c>
      <c r="B96">
        <v>125</v>
      </c>
      <c r="C96">
        <v>69</v>
      </c>
      <c r="D96">
        <v>27</v>
      </c>
      <c r="E96">
        <v>91.484520226695807</v>
      </c>
      <c r="F96">
        <v>68</v>
      </c>
      <c r="G96">
        <v>44002.129060974701</v>
      </c>
      <c r="H96">
        <v>7037.66459127689</v>
      </c>
      <c r="I96">
        <v>13</v>
      </c>
      <c r="J96">
        <v>89.247113470491698</v>
      </c>
      <c r="K96">
        <v>3.5800910639248702</v>
      </c>
      <c r="L96" t="str">
        <f t="shared" si="1"/>
        <v>Apr</v>
      </c>
    </row>
    <row r="97" spans="1:12" x14ac:dyDescent="0.3">
      <c r="A97" s="1">
        <v>45022</v>
      </c>
      <c r="B97">
        <v>103</v>
      </c>
      <c r="C97">
        <v>81</v>
      </c>
      <c r="D97">
        <v>20</v>
      </c>
      <c r="E97">
        <v>78.178720022006004</v>
      </c>
      <c r="F97">
        <v>68</v>
      </c>
      <c r="G97">
        <v>26121.069038866899</v>
      </c>
      <c r="H97">
        <v>10233.296311947401</v>
      </c>
      <c r="I97">
        <v>16</v>
      </c>
      <c r="J97">
        <v>57.604305991349101</v>
      </c>
      <c r="K97">
        <v>4.7428280683816997</v>
      </c>
      <c r="L97" t="str">
        <f t="shared" si="1"/>
        <v>Apr</v>
      </c>
    </row>
    <row r="98" spans="1:12" x14ac:dyDescent="0.3">
      <c r="A98" s="1">
        <v>45023</v>
      </c>
      <c r="B98">
        <v>112</v>
      </c>
      <c r="C98">
        <v>76</v>
      </c>
      <c r="D98">
        <v>27</v>
      </c>
      <c r="E98">
        <v>82.406473045760507</v>
      </c>
      <c r="F98">
        <v>54</v>
      </c>
      <c r="G98">
        <v>36652.5484790685</v>
      </c>
      <c r="H98">
        <v>7871.3795808457498</v>
      </c>
      <c r="I98">
        <v>25</v>
      </c>
      <c r="J98">
        <v>81.703804651535293</v>
      </c>
      <c r="K98">
        <v>4.3454059884177898</v>
      </c>
      <c r="L98" t="str">
        <f t="shared" si="1"/>
        <v>Apr</v>
      </c>
    </row>
    <row r="99" spans="1:12" x14ac:dyDescent="0.3">
      <c r="A99" s="1">
        <v>45024</v>
      </c>
      <c r="B99">
        <v>136</v>
      </c>
      <c r="C99">
        <v>75</v>
      </c>
      <c r="D99">
        <v>34</v>
      </c>
      <c r="E99">
        <v>73.656582800108396</v>
      </c>
      <c r="F99">
        <v>68</v>
      </c>
      <c r="G99">
        <v>41992.138880890197</v>
      </c>
      <c r="H99">
        <v>12928.5441903383</v>
      </c>
      <c r="I99">
        <v>14</v>
      </c>
      <c r="J99">
        <v>86.315951751184699</v>
      </c>
      <c r="K99">
        <v>4.59336279438274</v>
      </c>
      <c r="L99" t="str">
        <f t="shared" si="1"/>
        <v>Apr</v>
      </c>
    </row>
    <row r="100" spans="1:12" x14ac:dyDescent="0.3">
      <c r="A100" s="1">
        <v>45025</v>
      </c>
      <c r="B100">
        <v>130</v>
      </c>
      <c r="C100">
        <v>73</v>
      </c>
      <c r="D100">
        <v>34</v>
      </c>
      <c r="E100">
        <v>75.4344804860404</v>
      </c>
      <c r="F100">
        <v>51</v>
      </c>
      <c r="G100">
        <v>38479.563507805302</v>
      </c>
      <c r="H100">
        <v>10775.9336588115</v>
      </c>
      <c r="I100">
        <v>15</v>
      </c>
      <c r="J100">
        <v>87.748063712808801</v>
      </c>
      <c r="K100">
        <v>3.5009357975849902</v>
      </c>
      <c r="L100" t="str">
        <f t="shared" si="1"/>
        <v>Apr</v>
      </c>
    </row>
    <row r="101" spans="1:12" x14ac:dyDescent="0.3">
      <c r="A101" s="1">
        <v>45026</v>
      </c>
      <c r="B101">
        <v>122</v>
      </c>
      <c r="C101">
        <v>87</v>
      </c>
      <c r="D101">
        <v>30</v>
      </c>
      <c r="E101">
        <v>90.433535618949406</v>
      </c>
      <c r="F101">
        <v>59</v>
      </c>
      <c r="G101">
        <v>25640.742038462398</v>
      </c>
      <c r="H101">
        <v>11345.824175502999</v>
      </c>
      <c r="I101">
        <v>16</v>
      </c>
      <c r="J101">
        <v>88.405424176217807</v>
      </c>
      <c r="K101">
        <v>4.2497481992139896</v>
      </c>
      <c r="L101" t="str">
        <f t="shared" si="1"/>
        <v>Apr</v>
      </c>
    </row>
    <row r="102" spans="1:12" x14ac:dyDescent="0.3">
      <c r="A102" s="1">
        <v>45027</v>
      </c>
      <c r="B102">
        <v>109</v>
      </c>
      <c r="C102">
        <v>79</v>
      </c>
      <c r="D102">
        <v>33</v>
      </c>
      <c r="E102">
        <v>75.443150430868798</v>
      </c>
      <c r="F102">
        <v>51</v>
      </c>
      <c r="G102">
        <v>30661.5370605721</v>
      </c>
      <c r="H102">
        <v>12979.141596158899</v>
      </c>
      <c r="I102">
        <v>14</v>
      </c>
      <c r="J102">
        <v>70.858385548858806</v>
      </c>
      <c r="K102">
        <v>4.1434919662874901</v>
      </c>
      <c r="L102" t="str">
        <f t="shared" si="1"/>
        <v>Apr</v>
      </c>
    </row>
    <row r="103" spans="1:12" x14ac:dyDescent="0.3">
      <c r="A103" s="1">
        <v>45028</v>
      </c>
      <c r="B103">
        <v>113</v>
      </c>
      <c r="C103">
        <v>76</v>
      </c>
      <c r="D103">
        <v>29</v>
      </c>
      <c r="E103">
        <v>85.754901510011805</v>
      </c>
      <c r="F103">
        <v>60</v>
      </c>
      <c r="G103">
        <v>43513.753534561904</v>
      </c>
      <c r="H103">
        <v>8959.7047266245499</v>
      </c>
      <c r="I103">
        <v>12</v>
      </c>
      <c r="J103">
        <v>89.0923163196601</v>
      </c>
      <c r="K103">
        <v>4.6656607535765398</v>
      </c>
      <c r="L103" t="str">
        <f t="shared" si="1"/>
        <v>Apr</v>
      </c>
    </row>
    <row r="104" spans="1:12" x14ac:dyDescent="0.3">
      <c r="A104" s="1">
        <v>45029</v>
      </c>
      <c r="B104">
        <v>125</v>
      </c>
      <c r="C104">
        <v>68</v>
      </c>
      <c r="D104">
        <v>24</v>
      </c>
      <c r="E104">
        <v>91.271387851672898</v>
      </c>
      <c r="F104">
        <v>67</v>
      </c>
      <c r="G104">
        <v>36626.795423960502</v>
      </c>
      <c r="H104">
        <v>14150.900684070401</v>
      </c>
      <c r="I104">
        <v>7</v>
      </c>
      <c r="J104">
        <v>80.292408285377505</v>
      </c>
      <c r="K104">
        <v>4.8121741209625197</v>
      </c>
      <c r="L104" t="str">
        <f t="shared" si="1"/>
        <v>Apr</v>
      </c>
    </row>
    <row r="105" spans="1:12" x14ac:dyDescent="0.3">
      <c r="A105" s="1">
        <v>45030</v>
      </c>
      <c r="B105">
        <v>138</v>
      </c>
      <c r="C105">
        <v>98</v>
      </c>
      <c r="D105">
        <v>33</v>
      </c>
      <c r="E105">
        <v>73.206307692842302</v>
      </c>
      <c r="F105">
        <v>64</v>
      </c>
      <c r="G105">
        <v>20156.8884062873</v>
      </c>
      <c r="H105">
        <v>10330.2886724614</v>
      </c>
      <c r="I105">
        <v>16</v>
      </c>
      <c r="J105">
        <v>56.466857449478397</v>
      </c>
      <c r="K105">
        <v>3.0243135429547698</v>
      </c>
      <c r="L105" t="str">
        <f t="shared" si="1"/>
        <v>Apr</v>
      </c>
    </row>
    <row r="106" spans="1:12" x14ac:dyDescent="0.3">
      <c r="A106" s="1">
        <v>45031</v>
      </c>
      <c r="B106">
        <v>118</v>
      </c>
      <c r="C106">
        <v>63</v>
      </c>
      <c r="D106">
        <v>21</v>
      </c>
      <c r="E106">
        <v>87.019366588867101</v>
      </c>
      <c r="F106">
        <v>58</v>
      </c>
      <c r="G106">
        <v>42829.722800842799</v>
      </c>
      <c r="H106">
        <v>6579.5482283534802</v>
      </c>
      <c r="I106">
        <v>16</v>
      </c>
      <c r="J106">
        <v>69.076004258718797</v>
      </c>
      <c r="K106">
        <v>4.3480398381175798</v>
      </c>
      <c r="L106" t="str">
        <f t="shared" si="1"/>
        <v>Apr</v>
      </c>
    </row>
    <row r="107" spans="1:12" x14ac:dyDescent="0.3">
      <c r="A107" s="1">
        <v>45032</v>
      </c>
      <c r="B107">
        <v>113</v>
      </c>
      <c r="C107">
        <v>82</v>
      </c>
      <c r="D107">
        <v>32</v>
      </c>
      <c r="E107">
        <v>77.696883511040895</v>
      </c>
      <c r="F107">
        <v>68</v>
      </c>
      <c r="G107">
        <v>21059.3406482071</v>
      </c>
      <c r="H107">
        <v>11958.991181687999</v>
      </c>
      <c r="I107">
        <v>14</v>
      </c>
      <c r="J107">
        <v>78.733247014880106</v>
      </c>
      <c r="K107">
        <v>3.1036715982394498</v>
      </c>
      <c r="L107" t="str">
        <f t="shared" si="1"/>
        <v>Apr</v>
      </c>
    </row>
    <row r="108" spans="1:12" x14ac:dyDescent="0.3">
      <c r="A108" s="1">
        <v>45033</v>
      </c>
      <c r="B108">
        <v>133</v>
      </c>
      <c r="C108">
        <v>69</v>
      </c>
      <c r="D108">
        <v>42</v>
      </c>
      <c r="E108">
        <v>98.887806257127394</v>
      </c>
      <c r="F108">
        <v>58</v>
      </c>
      <c r="G108">
        <v>42372.013481936898</v>
      </c>
      <c r="H108">
        <v>12932.6135043825</v>
      </c>
      <c r="I108">
        <v>15</v>
      </c>
      <c r="J108">
        <v>59.8936126327633</v>
      </c>
      <c r="K108">
        <v>4.0977173301547101</v>
      </c>
      <c r="L108" t="str">
        <f t="shared" si="1"/>
        <v>Apr</v>
      </c>
    </row>
    <row r="109" spans="1:12" x14ac:dyDescent="0.3">
      <c r="A109" s="1">
        <v>45034</v>
      </c>
      <c r="B109">
        <v>108</v>
      </c>
      <c r="C109">
        <v>71</v>
      </c>
      <c r="D109">
        <v>29</v>
      </c>
      <c r="E109">
        <v>84.506369401597695</v>
      </c>
      <c r="F109">
        <v>52</v>
      </c>
      <c r="G109">
        <v>26074.416804957102</v>
      </c>
      <c r="H109">
        <v>8167.6167706752603</v>
      </c>
      <c r="I109">
        <v>16</v>
      </c>
      <c r="J109">
        <v>75.624607341955496</v>
      </c>
      <c r="K109">
        <v>3.5752654580873502</v>
      </c>
      <c r="L109" t="str">
        <f t="shared" si="1"/>
        <v>Apr</v>
      </c>
    </row>
    <row r="110" spans="1:12" x14ac:dyDescent="0.3">
      <c r="A110" s="1">
        <v>45035</v>
      </c>
      <c r="B110">
        <v>141</v>
      </c>
      <c r="C110">
        <v>70</v>
      </c>
      <c r="D110">
        <v>29</v>
      </c>
      <c r="E110">
        <v>94.179776493254707</v>
      </c>
      <c r="F110">
        <v>58</v>
      </c>
      <c r="G110">
        <v>48742.204403581403</v>
      </c>
      <c r="H110">
        <v>13571.7925699875</v>
      </c>
      <c r="I110">
        <v>16</v>
      </c>
      <c r="J110">
        <v>76.664019161864701</v>
      </c>
      <c r="K110">
        <v>3.6135531990442802</v>
      </c>
      <c r="L110" t="str">
        <f t="shared" si="1"/>
        <v>Apr</v>
      </c>
    </row>
    <row r="111" spans="1:12" x14ac:dyDescent="0.3">
      <c r="A111" s="1">
        <v>45036</v>
      </c>
      <c r="B111">
        <v>122</v>
      </c>
      <c r="C111">
        <v>84</v>
      </c>
      <c r="D111">
        <v>28</v>
      </c>
      <c r="E111">
        <v>86.506796264687793</v>
      </c>
      <c r="F111">
        <v>63</v>
      </c>
      <c r="G111">
        <v>31038.222539062499</v>
      </c>
      <c r="H111">
        <v>14061.4325476576</v>
      </c>
      <c r="I111">
        <v>14</v>
      </c>
      <c r="J111">
        <v>56.507989752342603</v>
      </c>
      <c r="K111">
        <v>3.70591700690471</v>
      </c>
      <c r="L111" t="str">
        <f t="shared" si="1"/>
        <v>Apr</v>
      </c>
    </row>
    <row r="112" spans="1:12" x14ac:dyDescent="0.3">
      <c r="A112" s="1">
        <v>45037</v>
      </c>
      <c r="B112">
        <v>106</v>
      </c>
      <c r="C112">
        <v>76</v>
      </c>
      <c r="D112">
        <v>38</v>
      </c>
      <c r="E112">
        <v>71.302375985644503</v>
      </c>
      <c r="F112">
        <v>68</v>
      </c>
      <c r="G112">
        <v>29807.948490142298</v>
      </c>
      <c r="H112">
        <v>7769.0448737780898</v>
      </c>
      <c r="I112">
        <v>15</v>
      </c>
      <c r="J112">
        <v>72.603412498110202</v>
      </c>
      <c r="K112">
        <v>4.2425848980992198</v>
      </c>
      <c r="L112" t="str">
        <f t="shared" si="1"/>
        <v>Apr</v>
      </c>
    </row>
    <row r="113" spans="1:12" x14ac:dyDescent="0.3">
      <c r="A113" s="1">
        <v>45038</v>
      </c>
      <c r="B113">
        <v>135</v>
      </c>
      <c r="C113">
        <v>77</v>
      </c>
      <c r="D113">
        <v>25</v>
      </c>
      <c r="E113">
        <v>88.994541267820594</v>
      </c>
      <c r="F113">
        <v>56</v>
      </c>
      <c r="G113">
        <v>24466.641509973299</v>
      </c>
      <c r="H113">
        <v>14835.214727152201</v>
      </c>
      <c r="I113">
        <v>21</v>
      </c>
      <c r="J113">
        <v>80.865076439144303</v>
      </c>
      <c r="K113">
        <v>3.66809993133753</v>
      </c>
      <c r="L113" t="str">
        <f t="shared" si="1"/>
        <v>Apr</v>
      </c>
    </row>
    <row r="114" spans="1:12" x14ac:dyDescent="0.3">
      <c r="A114" s="1">
        <v>45039</v>
      </c>
      <c r="B114">
        <v>126</v>
      </c>
      <c r="C114">
        <v>78</v>
      </c>
      <c r="D114">
        <v>32</v>
      </c>
      <c r="E114">
        <v>98.542100266199697</v>
      </c>
      <c r="F114">
        <v>65</v>
      </c>
      <c r="G114">
        <v>29168.126464706402</v>
      </c>
      <c r="H114">
        <v>6407.1152804875801</v>
      </c>
      <c r="I114">
        <v>15</v>
      </c>
      <c r="J114">
        <v>69.955826581437606</v>
      </c>
      <c r="K114">
        <v>4.4653981011805604</v>
      </c>
      <c r="L114" t="str">
        <f t="shared" si="1"/>
        <v>Apr</v>
      </c>
    </row>
    <row r="115" spans="1:12" x14ac:dyDescent="0.3">
      <c r="A115" s="1">
        <v>45040</v>
      </c>
      <c r="B115">
        <v>115</v>
      </c>
      <c r="C115">
        <v>79</v>
      </c>
      <c r="D115">
        <v>37</v>
      </c>
      <c r="E115">
        <v>88.0483546043899</v>
      </c>
      <c r="F115">
        <v>65</v>
      </c>
      <c r="G115">
        <v>46299.522854846</v>
      </c>
      <c r="H115">
        <v>7020.1566840248997</v>
      </c>
      <c r="I115">
        <v>10</v>
      </c>
      <c r="J115">
        <v>50.484124671044299</v>
      </c>
      <c r="K115">
        <v>3.8090547711477298</v>
      </c>
      <c r="L115" t="str">
        <f t="shared" si="1"/>
        <v>Apr</v>
      </c>
    </row>
    <row r="116" spans="1:12" x14ac:dyDescent="0.3">
      <c r="A116" s="1">
        <v>45041</v>
      </c>
      <c r="B116">
        <v>131</v>
      </c>
      <c r="C116">
        <v>87</v>
      </c>
      <c r="D116">
        <v>46</v>
      </c>
      <c r="E116">
        <v>94.575665782803696</v>
      </c>
      <c r="F116">
        <v>50</v>
      </c>
      <c r="G116">
        <v>49890.030128817401</v>
      </c>
      <c r="H116">
        <v>6842.2483923802602</v>
      </c>
      <c r="I116">
        <v>10</v>
      </c>
      <c r="J116">
        <v>50.361538763171602</v>
      </c>
      <c r="K116">
        <v>3.1367064006199099</v>
      </c>
      <c r="L116" t="str">
        <f t="shared" si="1"/>
        <v>Apr</v>
      </c>
    </row>
    <row r="117" spans="1:12" x14ac:dyDescent="0.3">
      <c r="A117" s="1">
        <v>45042</v>
      </c>
      <c r="B117">
        <v>120</v>
      </c>
      <c r="C117">
        <v>77</v>
      </c>
      <c r="D117">
        <v>37</v>
      </c>
      <c r="E117">
        <v>96.526193900452199</v>
      </c>
      <c r="F117">
        <v>53</v>
      </c>
      <c r="G117">
        <v>31049.285915205401</v>
      </c>
      <c r="H117">
        <v>13939.897100078701</v>
      </c>
      <c r="I117">
        <v>23</v>
      </c>
      <c r="J117">
        <v>64.281173758800406</v>
      </c>
      <c r="K117">
        <v>4.56751968496821</v>
      </c>
      <c r="L117" t="str">
        <f t="shared" si="1"/>
        <v>Apr</v>
      </c>
    </row>
    <row r="118" spans="1:12" x14ac:dyDescent="0.3">
      <c r="A118" s="1">
        <v>45043</v>
      </c>
      <c r="B118">
        <v>130</v>
      </c>
      <c r="C118">
        <v>94</v>
      </c>
      <c r="D118">
        <v>34</v>
      </c>
      <c r="E118">
        <v>76.8423931584679</v>
      </c>
      <c r="F118">
        <v>53</v>
      </c>
      <c r="G118">
        <v>33458.318928636203</v>
      </c>
      <c r="H118">
        <v>11542.9255232496</v>
      </c>
      <c r="I118">
        <v>15</v>
      </c>
      <c r="J118">
        <v>87.047762737271199</v>
      </c>
      <c r="K118">
        <v>3.5715166491854098</v>
      </c>
      <c r="L118" t="str">
        <f t="shared" si="1"/>
        <v>Apr</v>
      </c>
    </row>
    <row r="119" spans="1:12" x14ac:dyDescent="0.3">
      <c r="A119" s="1">
        <v>45044</v>
      </c>
      <c r="B119">
        <v>127</v>
      </c>
      <c r="C119">
        <v>83</v>
      </c>
      <c r="D119">
        <v>23</v>
      </c>
      <c r="E119">
        <v>76.361345197246806</v>
      </c>
      <c r="F119">
        <v>56</v>
      </c>
      <c r="G119">
        <v>41662.128146082097</v>
      </c>
      <c r="H119">
        <v>6521.0428322227199</v>
      </c>
      <c r="I119">
        <v>16</v>
      </c>
      <c r="J119">
        <v>59.147071184144302</v>
      </c>
      <c r="K119">
        <v>3.8655337591985202</v>
      </c>
      <c r="L119" t="str">
        <f t="shared" si="1"/>
        <v>Apr</v>
      </c>
    </row>
    <row r="120" spans="1:12" x14ac:dyDescent="0.3">
      <c r="A120" s="1">
        <v>45045</v>
      </c>
      <c r="B120">
        <v>136</v>
      </c>
      <c r="C120">
        <v>69</v>
      </c>
      <c r="D120">
        <v>39</v>
      </c>
      <c r="E120">
        <v>88.329429665529702</v>
      </c>
      <c r="F120">
        <v>57</v>
      </c>
      <c r="G120">
        <v>46585.873413952198</v>
      </c>
      <c r="H120">
        <v>9403.2341836834894</v>
      </c>
      <c r="I120">
        <v>12</v>
      </c>
      <c r="J120">
        <v>75.374547554867405</v>
      </c>
      <c r="K120">
        <v>4.3708877664437997</v>
      </c>
      <c r="L120" t="str">
        <f t="shared" si="1"/>
        <v>Apr</v>
      </c>
    </row>
    <row r="121" spans="1:12" x14ac:dyDescent="0.3">
      <c r="A121" s="1">
        <v>45046</v>
      </c>
      <c r="B121">
        <v>116</v>
      </c>
      <c r="C121">
        <v>83</v>
      </c>
      <c r="D121">
        <v>35</v>
      </c>
      <c r="E121">
        <v>82.330854094201101</v>
      </c>
      <c r="F121">
        <v>66</v>
      </c>
      <c r="G121">
        <v>37791.3300256035</v>
      </c>
      <c r="H121">
        <v>11152.980250698</v>
      </c>
      <c r="I121">
        <v>18</v>
      </c>
      <c r="J121">
        <v>58.8830348277328</v>
      </c>
      <c r="K121">
        <v>3.6649123142974198</v>
      </c>
      <c r="L121" t="str">
        <f t="shared" si="1"/>
        <v>Apr</v>
      </c>
    </row>
    <row r="122" spans="1:12" x14ac:dyDescent="0.3">
      <c r="A122" s="1">
        <v>45047</v>
      </c>
      <c r="B122">
        <v>122</v>
      </c>
      <c r="C122">
        <v>93</v>
      </c>
      <c r="D122">
        <v>22</v>
      </c>
      <c r="E122">
        <v>95.195839086001598</v>
      </c>
      <c r="F122">
        <v>54</v>
      </c>
      <c r="G122">
        <v>31745.7709453348</v>
      </c>
      <c r="H122">
        <v>5834.6408498938299</v>
      </c>
      <c r="I122">
        <v>15</v>
      </c>
      <c r="J122">
        <v>62.866799586381902</v>
      </c>
      <c r="K122">
        <v>3.1131713122934301</v>
      </c>
      <c r="L122" t="str">
        <f t="shared" si="1"/>
        <v>May</v>
      </c>
    </row>
    <row r="123" spans="1:12" x14ac:dyDescent="0.3">
      <c r="A123" s="1">
        <v>45048</v>
      </c>
      <c r="B123">
        <v>119</v>
      </c>
      <c r="C123">
        <v>69</v>
      </c>
      <c r="D123">
        <v>33</v>
      </c>
      <c r="E123">
        <v>97.000693701940307</v>
      </c>
      <c r="F123">
        <v>56</v>
      </c>
      <c r="G123">
        <v>32378.6552254587</v>
      </c>
      <c r="H123">
        <v>13824.163684073301</v>
      </c>
      <c r="I123">
        <v>16</v>
      </c>
      <c r="J123">
        <v>83.921683584059295</v>
      </c>
      <c r="K123">
        <v>3.7478420940256201</v>
      </c>
      <c r="L123" t="str">
        <f t="shared" si="1"/>
        <v>May</v>
      </c>
    </row>
    <row r="124" spans="1:12" x14ac:dyDescent="0.3">
      <c r="A124" s="1">
        <v>45049</v>
      </c>
      <c r="B124">
        <v>113</v>
      </c>
      <c r="C124">
        <v>73</v>
      </c>
      <c r="D124">
        <v>25</v>
      </c>
      <c r="E124">
        <v>80.602641379081504</v>
      </c>
      <c r="F124">
        <v>69</v>
      </c>
      <c r="G124">
        <v>40868.544394904202</v>
      </c>
      <c r="H124">
        <v>13036.0353544153</v>
      </c>
      <c r="I124">
        <v>19</v>
      </c>
      <c r="J124">
        <v>79.154457690797798</v>
      </c>
      <c r="K124">
        <v>4.8888971653885998</v>
      </c>
      <c r="L124" t="str">
        <f t="shared" si="1"/>
        <v>May</v>
      </c>
    </row>
    <row r="125" spans="1:12" x14ac:dyDescent="0.3">
      <c r="A125" s="1">
        <v>45050</v>
      </c>
      <c r="B125">
        <v>86</v>
      </c>
      <c r="C125">
        <v>87</v>
      </c>
      <c r="D125">
        <v>19</v>
      </c>
      <c r="E125">
        <v>77.106116769234404</v>
      </c>
      <c r="F125">
        <v>69</v>
      </c>
      <c r="G125">
        <v>20096.547908128301</v>
      </c>
      <c r="H125">
        <v>10052.067735766301</v>
      </c>
      <c r="I125">
        <v>11</v>
      </c>
      <c r="J125">
        <v>53.8159710925284</v>
      </c>
      <c r="K125">
        <v>4.2834687945971099</v>
      </c>
      <c r="L125" t="str">
        <f t="shared" si="1"/>
        <v>May</v>
      </c>
    </row>
    <row r="126" spans="1:12" x14ac:dyDescent="0.3">
      <c r="A126" s="1">
        <v>45051</v>
      </c>
      <c r="B126">
        <v>132</v>
      </c>
      <c r="C126">
        <v>76</v>
      </c>
      <c r="D126">
        <v>26</v>
      </c>
      <c r="E126">
        <v>93.4157654573158</v>
      </c>
      <c r="F126">
        <v>53</v>
      </c>
      <c r="G126">
        <v>38587.680123795202</v>
      </c>
      <c r="H126">
        <v>14671.266152591699</v>
      </c>
      <c r="I126">
        <v>20</v>
      </c>
      <c r="J126">
        <v>67.148080839457293</v>
      </c>
      <c r="K126">
        <v>4.3429582973344099</v>
      </c>
      <c r="L126" t="str">
        <f t="shared" si="1"/>
        <v>May</v>
      </c>
    </row>
    <row r="127" spans="1:12" x14ac:dyDescent="0.3">
      <c r="A127" s="1">
        <v>45052</v>
      </c>
      <c r="B127">
        <v>105</v>
      </c>
      <c r="C127">
        <v>67</v>
      </c>
      <c r="D127">
        <v>27</v>
      </c>
      <c r="E127">
        <v>78.244181066444</v>
      </c>
      <c r="F127">
        <v>55</v>
      </c>
      <c r="G127">
        <v>30664.790313240701</v>
      </c>
      <c r="H127">
        <v>9177.6097927509909</v>
      </c>
      <c r="I127">
        <v>14</v>
      </c>
      <c r="J127">
        <v>51.1667905458105</v>
      </c>
      <c r="K127">
        <v>4.2645643072752799</v>
      </c>
      <c r="L127" t="str">
        <f t="shared" si="1"/>
        <v>May</v>
      </c>
    </row>
    <row r="128" spans="1:12" x14ac:dyDescent="0.3">
      <c r="A128" s="1">
        <v>45053</v>
      </c>
      <c r="B128">
        <v>129</v>
      </c>
      <c r="C128">
        <v>68</v>
      </c>
      <c r="D128">
        <v>28</v>
      </c>
      <c r="E128">
        <v>94.678429555410304</v>
      </c>
      <c r="F128">
        <v>56</v>
      </c>
      <c r="G128">
        <v>43825.919938312501</v>
      </c>
      <c r="H128">
        <v>14841.1031903649</v>
      </c>
      <c r="I128">
        <v>17</v>
      </c>
      <c r="J128">
        <v>69.235605864120302</v>
      </c>
      <c r="K128">
        <v>3.3979842779188698</v>
      </c>
      <c r="L128" t="str">
        <f t="shared" si="1"/>
        <v>May</v>
      </c>
    </row>
    <row r="129" spans="1:12" x14ac:dyDescent="0.3">
      <c r="A129" s="1">
        <v>45054</v>
      </c>
      <c r="B129">
        <v>124</v>
      </c>
      <c r="C129">
        <v>88</v>
      </c>
      <c r="D129">
        <v>32</v>
      </c>
      <c r="E129">
        <v>82.712147609462804</v>
      </c>
      <c r="F129">
        <v>67</v>
      </c>
      <c r="G129">
        <v>22789.719194693898</v>
      </c>
      <c r="H129">
        <v>11679.1999880362</v>
      </c>
      <c r="I129">
        <v>17</v>
      </c>
      <c r="J129">
        <v>76.4973604680427</v>
      </c>
      <c r="K129">
        <v>3.83666772820456</v>
      </c>
      <c r="L129" t="str">
        <f t="shared" si="1"/>
        <v>May</v>
      </c>
    </row>
    <row r="130" spans="1:12" x14ac:dyDescent="0.3">
      <c r="A130" s="1">
        <v>45055</v>
      </c>
      <c r="B130">
        <v>96</v>
      </c>
      <c r="C130">
        <v>72</v>
      </c>
      <c r="D130">
        <v>33</v>
      </c>
      <c r="E130">
        <v>90.026496978744106</v>
      </c>
      <c r="F130">
        <v>54</v>
      </c>
      <c r="G130">
        <v>37646.068008451701</v>
      </c>
      <c r="H130">
        <v>11346.712732539399</v>
      </c>
      <c r="I130">
        <v>12</v>
      </c>
      <c r="J130">
        <v>54.740104943925999</v>
      </c>
      <c r="K130">
        <v>4.5018795967266296</v>
      </c>
      <c r="L130" t="str">
        <f t="shared" si="1"/>
        <v>May</v>
      </c>
    </row>
    <row r="131" spans="1:12" x14ac:dyDescent="0.3">
      <c r="A131" s="1">
        <v>45056</v>
      </c>
      <c r="B131">
        <v>121</v>
      </c>
      <c r="C131">
        <v>86</v>
      </c>
      <c r="D131">
        <v>35</v>
      </c>
      <c r="E131">
        <v>72.866059415039999</v>
      </c>
      <c r="F131">
        <v>69</v>
      </c>
      <c r="G131">
        <v>34429.186696583703</v>
      </c>
      <c r="H131">
        <v>6659.5489529578499</v>
      </c>
      <c r="I131">
        <v>19</v>
      </c>
      <c r="J131">
        <v>61.5553975563666</v>
      </c>
      <c r="K131">
        <v>3.2027457951063099</v>
      </c>
      <c r="L131" t="str">
        <f t="shared" ref="L131:L194" si="2">TEXT(A131,"mmm")</f>
        <v>May</v>
      </c>
    </row>
    <row r="132" spans="1:12" x14ac:dyDescent="0.3">
      <c r="A132" s="1">
        <v>45057</v>
      </c>
      <c r="B132">
        <v>120</v>
      </c>
      <c r="C132">
        <v>85</v>
      </c>
      <c r="D132">
        <v>30</v>
      </c>
      <c r="E132">
        <v>88.715779740297194</v>
      </c>
      <c r="F132">
        <v>52</v>
      </c>
      <c r="G132">
        <v>39269.765777156797</v>
      </c>
      <c r="H132">
        <v>13819.2775830464</v>
      </c>
      <c r="I132">
        <v>17</v>
      </c>
      <c r="J132">
        <v>65.913465020086207</v>
      </c>
      <c r="K132">
        <v>3.5557055521794201</v>
      </c>
      <c r="L132" t="str">
        <f t="shared" si="2"/>
        <v>May</v>
      </c>
    </row>
    <row r="133" spans="1:12" x14ac:dyDescent="0.3">
      <c r="A133" s="1">
        <v>45058</v>
      </c>
      <c r="B133">
        <v>130</v>
      </c>
      <c r="C133">
        <v>73</v>
      </c>
      <c r="D133">
        <v>23</v>
      </c>
      <c r="E133">
        <v>83.5530303621168</v>
      </c>
      <c r="F133">
        <v>56</v>
      </c>
      <c r="G133">
        <v>21945.607834489001</v>
      </c>
      <c r="H133">
        <v>9274.8968792061496</v>
      </c>
      <c r="I133">
        <v>12</v>
      </c>
      <c r="J133">
        <v>86.781240986241897</v>
      </c>
      <c r="K133">
        <v>3.5526382169317001</v>
      </c>
      <c r="L133" t="str">
        <f t="shared" si="2"/>
        <v>May</v>
      </c>
    </row>
    <row r="134" spans="1:12" x14ac:dyDescent="0.3">
      <c r="A134" s="1">
        <v>45059</v>
      </c>
      <c r="B134">
        <v>118</v>
      </c>
      <c r="C134">
        <v>71</v>
      </c>
      <c r="D134">
        <v>32</v>
      </c>
      <c r="E134">
        <v>87.598253895264193</v>
      </c>
      <c r="F134">
        <v>63</v>
      </c>
      <c r="G134">
        <v>37399.513622843901</v>
      </c>
      <c r="H134">
        <v>6622.3340578247899</v>
      </c>
      <c r="I134">
        <v>18</v>
      </c>
      <c r="J134">
        <v>89.730200616918495</v>
      </c>
      <c r="K134">
        <v>3.86403785518901</v>
      </c>
      <c r="L134" t="str">
        <f t="shared" si="2"/>
        <v>May</v>
      </c>
    </row>
    <row r="135" spans="1:12" x14ac:dyDescent="0.3">
      <c r="A135" s="1">
        <v>45060</v>
      </c>
      <c r="B135">
        <v>132</v>
      </c>
      <c r="C135">
        <v>82</v>
      </c>
      <c r="D135">
        <v>31</v>
      </c>
      <c r="E135">
        <v>75.040426232345894</v>
      </c>
      <c r="F135">
        <v>56</v>
      </c>
      <c r="G135">
        <v>36844.537638785703</v>
      </c>
      <c r="H135">
        <v>5126.0751997575899</v>
      </c>
      <c r="I135">
        <v>18</v>
      </c>
      <c r="J135">
        <v>51.796451959824601</v>
      </c>
      <c r="K135">
        <v>4.9607374818843697</v>
      </c>
      <c r="L135" t="str">
        <f t="shared" si="2"/>
        <v>May</v>
      </c>
    </row>
    <row r="136" spans="1:12" x14ac:dyDescent="0.3">
      <c r="A136" s="1">
        <v>45061</v>
      </c>
      <c r="B136">
        <v>117</v>
      </c>
      <c r="C136">
        <v>79</v>
      </c>
      <c r="D136">
        <v>27</v>
      </c>
      <c r="E136">
        <v>92.1062123483254</v>
      </c>
      <c r="F136">
        <v>54</v>
      </c>
      <c r="G136">
        <v>36819.802832485097</v>
      </c>
      <c r="H136">
        <v>10597.556836383799</v>
      </c>
      <c r="I136">
        <v>17</v>
      </c>
      <c r="J136">
        <v>80.440316939815602</v>
      </c>
      <c r="K136">
        <v>3.1350050933676399</v>
      </c>
      <c r="L136" t="str">
        <f t="shared" si="2"/>
        <v>May</v>
      </c>
    </row>
    <row r="137" spans="1:12" x14ac:dyDescent="0.3">
      <c r="A137" s="1">
        <v>45062</v>
      </c>
      <c r="B137">
        <v>107</v>
      </c>
      <c r="C137">
        <v>69</v>
      </c>
      <c r="D137">
        <v>21</v>
      </c>
      <c r="E137">
        <v>95.883912326296795</v>
      </c>
      <c r="F137">
        <v>54</v>
      </c>
      <c r="G137">
        <v>38104.6299978936</v>
      </c>
      <c r="H137">
        <v>10273.9962212267</v>
      </c>
      <c r="I137">
        <v>20</v>
      </c>
      <c r="J137">
        <v>64.8689626560937</v>
      </c>
      <c r="K137">
        <v>4.0374019887611903</v>
      </c>
      <c r="L137" t="str">
        <f t="shared" si="2"/>
        <v>May</v>
      </c>
    </row>
    <row r="138" spans="1:12" x14ac:dyDescent="0.3">
      <c r="A138" s="1">
        <v>45063</v>
      </c>
      <c r="B138">
        <v>121</v>
      </c>
      <c r="C138">
        <v>80</v>
      </c>
      <c r="D138">
        <v>14</v>
      </c>
      <c r="E138">
        <v>76.502194002723201</v>
      </c>
      <c r="F138">
        <v>51</v>
      </c>
      <c r="G138">
        <v>40294.038116790798</v>
      </c>
      <c r="H138">
        <v>12193.536223691501</v>
      </c>
      <c r="I138">
        <v>9</v>
      </c>
      <c r="J138">
        <v>65.698327449179203</v>
      </c>
      <c r="K138">
        <v>3.3587293640244198</v>
      </c>
      <c r="L138" t="str">
        <f t="shared" si="2"/>
        <v>May</v>
      </c>
    </row>
    <row r="139" spans="1:12" x14ac:dyDescent="0.3">
      <c r="A139" s="1">
        <v>45064</v>
      </c>
      <c r="B139">
        <v>125</v>
      </c>
      <c r="C139">
        <v>97</v>
      </c>
      <c r="D139">
        <v>28</v>
      </c>
      <c r="E139">
        <v>72.871436665604804</v>
      </c>
      <c r="F139">
        <v>55</v>
      </c>
      <c r="G139">
        <v>44149.669990422997</v>
      </c>
      <c r="H139">
        <v>13902.580530178</v>
      </c>
      <c r="I139">
        <v>8</v>
      </c>
      <c r="J139">
        <v>80.170598933880896</v>
      </c>
      <c r="K139">
        <v>4.9413530908194803</v>
      </c>
      <c r="L139" t="str">
        <f t="shared" si="2"/>
        <v>May</v>
      </c>
    </row>
    <row r="140" spans="1:12" x14ac:dyDescent="0.3">
      <c r="A140" s="1">
        <v>45065</v>
      </c>
      <c r="B140">
        <v>122</v>
      </c>
      <c r="C140">
        <v>86</v>
      </c>
      <c r="D140">
        <v>31</v>
      </c>
      <c r="E140">
        <v>70.709157581390002</v>
      </c>
      <c r="F140">
        <v>64</v>
      </c>
      <c r="G140">
        <v>28094.621603846401</v>
      </c>
      <c r="H140">
        <v>5794.0658464302896</v>
      </c>
      <c r="I140">
        <v>14</v>
      </c>
      <c r="J140">
        <v>86.737057285816306</v>
      </c>
      <c r="K140">
        <v>3.22660700945492</v>
      </c>
      <c r="L140" t="str">
        <f t="shared" si="2"/>
        <v>May</v>
      </c>
    </row>
    <row r="141" spans="1:12" x14ac:dyDescent="0.3">
      <c r="A141" s="1">
        <v>45066</v>
      </c>
      <c r="B141">
        <v>117</v>
      </c>
      <c r="C141">
        <v>82</v>
      </c>
      <c r="D141">
        <v>35</v>
      </c>
      <c r="E141">
        <v>89.259145013297896</v>
      </c>
      <c r="F141">
        <v>59</v>
      </c>
      <c r="G141">
        <v>44751.482305401798</v>
      </c>
      <c r="H141">
        <v>12314.964903403599</v>
      </c>
      <c r="I141">
        <v>13</v>
      </c>
      <c r="J141">
        <v>88.0371437801019</v>
      </c>
      <c r="K141">
        <v>3.8072020047231798</v>
      </c>
      <c r="L141" t="str">
        <f t="shared" si="2"/>
        <v>May</v>
      </c>
    </row>
    <row r="142" spans="1:12" x14ac:dyDescent="0.3">
      <c r="A142" s="1">
        <v>45067</v>
      </c>
      <c r="B142">
        <v>115</v>
      </c>
      <c r="C142">
        <v>78</v>
      </c>
      <c r="D142">
        <v>24</v>
      </c>
      <c r="E142">
        <v>88.212821082663396</v>
      </c>
      <c r="F142">
        <v>56</v>
      </c>
      <c r="G142">
        <v>34947.670467903597</v>
      </c>
      <c r="H142">
        <v>6874.11944097582</v>
      </c>
      <c r="I142">
        <v>15</v>
      </c>
      <c r="J142">
        <v>73.084903441532802</v>
      </c>
      <c r="K142">
        <v>4.4757699696692104</v>
      </c>
      <c r="L142" t="str">
        <f t="shared" si="2"/>
        <v>May</v>
      </c>
    </row>
    <row r="143" spans="1:12" x14ac:dyDescent="0.3">
      <c r="A143" s="1">
        <v>45068</v>
      </c>
      <c r="B143">
        <v>94</v>
      </c>
      <c r="C143">
        <v>79</v>
      </c>
      <c r="D143">
        <v>32</v>
      </c>
      <c r="E143">
        <v>86.400922381422106</v>
      </c>
      <c r="F143">
        <v>54</v>
      </c>
      <c r="G143">
        <v>22311.748374029899</v>
      </c>
      <c r="H143">
        <v>13581.770531571599</v>
      </c>
      <c r="I143">
        <v>8</v>
      </c>
      <c r="J143">
        <v>64.284846372020098</v>
      </c>
      <c r="K143">
        <v>4.4091088560548899</v>
      </c>
      <c r="L143" t="str">
        <f t="shared" si="2"/>
        <v>May</v>
      </c>
    </row>
    <row r="144" spans="1:12" x14ac:dyDescent="0.3">
      <c r="A144" s="1">
        <v>45069</v>
      </c>
      <c r="B144">
        <v>133</v>
      </c>
      <c r="C144">
        <v>92</v>
      </c>
      <c r="D144">
        <v>18</v>
      </c>
      <c r="E144">
        <v>76.958412883479198</v>
      </c>
      <c r="F144">
        <v>50</v>
      </c>
      <c r="G144">
        <v>21756.527877319299</v>
      </c>
      <c r="H144">
        <v>13190.635138616501</v>
      </c>
      <c r="I144">
        <v>6</v>
      </c>
      <c r="J144">
        <v>81.501963434351097</v>
      </c>
      <c r="K144">
        <v>3.8454572737878601</v>
      </c>
      <c r="L144" t="str">
        <f t="shared" si="2"/>
        <v>May</v>
      </c>
    </row>
    <row r="145" spans="1:12" x14ac:dyDescent="0.3">
      <c r="A145" s="1">
        <v>45070</v>
      </c>
      <c r="B145">
        <v>119</v>
      </c>
      <c r="C145">
        <v>82</v>
      </c>
      <c r="D145">
        <v>33</v>
      </c>
      <c r="E145">
        <v>81.727179877165398</v>
      </c>
      <c r="F145">
        <v>62</v>
      </c>
      <c r="G145">
        <v>30027.1495608818</v>
      </c>
      <c r="H145">
        <v>10407.9375498554</v>
      </c>
      <c r="I145">
        <v>14</v>
      </c>
      <c r="J145">
        <v>60.040055330492002</v>
      </c>
      <c r="K145">
        <v>3.6930483359054298</v>
      </c>
      <c r="L145" t="str">
        <f t="shared" si="2"/>
        <v>May</v>
      </c>
    </row>
    <row r="146" spans="1:12" x14ac:dyDescent="0.3">
      <c r="A146" s="1">
        <v>45071</v>
      </c>
      <c r="B146">
        <v>120</v>
      </c>
      <c r="C146">
        <v>61</v>
      </c>
      <c r="D146">
        <v>34</v>
      </c>
      <c r="E146">
        <v>87.8342900555852</v>
      </c>
      <c r="F146">
        <v>67</v>
      </c>
      <c r="G146">
        <v>43546.909313343996</v>
      </c>
      <c r="H146">
        <v>12102.4279862331</v>
      </c>
      <c r="I146">
        <v>12</v>
      </c>
      <c r="J146">
        <v>72.562961153340694</v>
      </c>
      <c r="K146">
        <v>3.79522475710574</v>
      </c>
      <c r="L146" t="str">
        <f t="shared" si="2"/>
        <v>May</v>
      </c>
    </row>
    <row r="147" spans="1:12" x14ac:dyDescent="0.3">
      <c r="A147" s="1">
        <v>45072</v>
      </c>
      <c r="B147">
        <v>108</v>
      </c>
      <c r="C147">
        <v>89</v>
      </c>
      <c r="D147">
        <v>27</v>
      </c>
      <c r="E147">
        <v>84.903005765775006</v>
      </c>
      <c r="F147">
        <v>62</v>
      </c>
      <c r="G147">
        <v>41230.428042227402</v>
      </c>
      <c r="H147">
        <v>8143.50113183748</v>
      </c>
      <c r="I147">
        <v>14</v>
      </c>
      <c r="J147">
        <v>64.343138460994894</v>
      </c>
      <c r="K147">
        <v>3.5285525263172701</v>
      </c>
      <c r="L147" t="str">
        <f t="shared" si="2"/>
        <v>May</v>
      </c>
    </row>
    <row r="148" spans="1:12" x14ac:dyDescent="0.3">
      <c r="A148" s="1">
        <v>45073</v>
      </c>
      <c r="B148">
        <v>117</v>
      </c>
      <c r="C148">
        <v>75</v>
      </c>
      <c r="D148">
        <v>31</v>
      </c>
      <c r="E148">
        <v>99.633565606446595</v>
      </c>
      <c r="F148">
        <v>67</v>
      </c>
      <c r="G148">
        <v>43658.4489401721</v>
      </c>
      <c r="H148">
        <v>9711.6789893281402</v>
      </c>
      <c r="I148">
        <v>13</v>
      </c>
      <c r="J148">
        <v>76.265242948315006</v>
      </c>
      <c r="K148">
        <v>3.4106658774135901</v>
      </c>
      <c r="L148" t="str">
        <f t="shared" si="2"/>
        <v>May</v>
      </c>
    </row>
    <row r="149" spans="1:12" x14ac:dyDescent="0.3">
      <c r="A149" s="1">
        <v>45074</v>
      </c>
      <c r="B149">
        <v>124</v>
      </c>
      <c r="C149">
        <v>81</v>
      </c>
      <c r="D149">
        <v>29</v>
      </c>
      <c r="E149">
        <v>74.093192576701995</v>
      </c>
      <c r="F149">
        <v>54</v>
      </c>
      <c r="G149">
        <v>35518.071693248203</v>
      </c>
      <c r="H149">
        <v>13216.368977104699</v>
      </c>
      <c r="I149">
        <v>11</v>
      </c>
      <c r="J149">
        <v>59.615956515740201</v>
      </c>
      <c r="K149">
        <v>3.96607939511778</v>
      </c>
      <c r="L149" t="str">
        <f t="shared" si="2"/>
        <v>May</v>
      </c>
    </row>
    <row r="150" spans="1:12" x14ac:dyDescent="0.3">
      <c r="A150" s="1">
        <v>45075</v>
      </c>
      <c r="B150">
        <v>116</v>
      </c>
      <c r="C150">
        <v>76</v>
      </c>
      <c r="D150">
        <v>30</v>
      </c>
      <c r="E150">
        <v>90.854336621427805</v>
      </c>
      <c r="F150">
        <v>62</v>
      </c>
      <c r="G150">
        <v>33205.969938664697</v>
      </c>
      <c r="H150">
        <v>9592.6519717321298</v>
      </c>
      <c r="I150">
        <v>13</v>
      </c>
      <c r="J150">
        <v>57.663717829393001</v>
      </c>
      <c r="K150">
        <v>3.5370675121352102</v>
      </c>
      <c r="L150" t="str">
        <f t="shared" si="2"/>
        <v>May</v>
      </c>
    </row>
    <row r="151" spans="1:12" x14ac:dyDescent="0.3">
      <c r="A151" s="1">
        <v>45076</v>
      </c>
      <c r="B151">
        <v>120</v>
      </c>
      <c r="C151">
        <v>86</v>
      </c>
      <c r="D151">
        <v>21</v>
      </c>
      <c r="E151">
        <v>82.129563043128698</v>
      </c>
      <c r="F151">
        <v>53</v>
      </c>
      <c r="G151">
        <v>24423.575801188501</v>
      </c>
      <c r="H151">
        <v>8577.9826532544103</v>
      </c>
      <c r="I151">
        <v>10</v>
      </c>
      <c r="J151">
        <v>86.7295634670174</v>
      </c>
      <c r="K151">
        <v>3.5749233297944998</v>
      </c>
      <c r="L151" t="str">
        <f t="shared" si="2"/>
        <v>May</v>
      </c>
    </row>
    <row r="152" spans="1:12" x14ac:dyDescent="0.3">
      <c r="A152" s="1">
        <v>45077</v>
      </c>
      <c r="B152">
        <v>125</v>
      </c>
      <c r="C152">
        <v>72</v>
      </c>
      <c r="D152">
        <v>26</v>
      </c>
      <c r="E152">
        <v>82.845988447768406</v>
      </c>
      <c r="F152">
        <v>66</v>
      </c>
      <c r="G152">
        <v>29845.7826082793</v>
      </c>
      <c r="H152">
        <v>9942.1244725029992</v>
      </c>
      <c r="I152">
        <v>15</v>
      </c>
      <c r="J152">
        <v>54.072147317981397</v>
      </c>
      <c r="K152">
        <v>4.3135121269491101</v>
      </c>
      <c r="L152" t="str">
        <f t="shared" si="2"/>
        <v>May</v>
      </c>
    </row>
    <row r="153" spans="1:12" x14ac:dyDescent="0.3">
      <c r="A153" s="1">
        <v>45078</v>
      </c>
      <c r="B153">
        <v>100</v>
      </c>
      <c r="C153">
        <v>69</v>
      </c>
      <c r="D153">
        <v>37</v>
      </c>
      <c r="E153">
        <v>91.527932969745194</v>
      </c>
      <c r="F153">
        <v>52</v>
      </c>
      <c r="G153">
        <v>33020.580985216198</v>
      </c>
      <c r="H153">
        <v>13282.492524372101</v>
      </c>
      <c r="I153">
        <v>16</v>
      </c>
      <c r="J153">
        <v>70.238316309397206</v>
      </c>
      <c r="K153">
        <v>4.9370746633997804</v>
      </c>
      <c r="L153" t="str">
        <f t="shared" si="2"/>
        <v>Jun</v>
      </c>
    </row>
    <row r="154" spans="1:12" x14ac:dyDescent="0.3">
      <c r="A154" s="1">
        <v>45079</v>
      </c>
      <c r="B154">
        <v>142</v>
      </c>
      <c r="C154">
        <v>80</v>
      </c>
      <c r="D154">
        <v>24</v>
      </c>
      <c r="E154">
        <v>90.773084539731002</v>
      </c>
      <c r="F154">
        <v>66</v>
      </c>
      <c r="G154">
        <v>22658.012890388502</v>
      </c>
      <c r="H154">
        <v>8352.0804737087201</v>
      </c>
      <c r="I154">
        <v>8</v>
      </c>
      <c r="J154">
        <v>58.8341113185203</v>
      </c>
      <c r="K154">
        <v>4.2072744011187497</v>
      </c>
      <c r="L154" t="str">
        <f t="shared" si="2"/>
        <v>Jun</v>
      </c>
    </row>
    <row r="155" spans="1:12" x14ac:dyDescent="0.3">
      <c r="A155" s="1">
        <v>45080</v>
      </c>
      <c r="B155">
        <v>116</v>
      </c>
      <c r="C155">
        <v>95</v>
      </c>
      <c r="D155">
        <v>33</v>
      </c>
      <c r="E155">
        <v>99.737679811065604</v>
      </c>
      <c r="F155">
        <v>60</v>
      </c>
      <c r="G155">
        <v>26618.358581336299</v>
      </c>
      <c r="H155">
        <v>6737.6159313574299</v>
      </c>
      <c r="I155">
        <v>12</v>
      </c>
      <c r="J155">
        <v>51.5571985330267</v>
      </c>
      <c r="K155">
        <v>3.1539589341299301</v>
      </c>
      <c r="L155" t="str">
        <f t="shared" si="2"/>
        <v>Jun</v>
      </c>
    </row>
    <row r="156" spans="1:12" x14ac:dyDescent="0.3">
      <c r="A156" s="1">
        <v>45081</v>
      </c>
      <c r="B156">
        <v>119</v>
      </c>
      <c r="C156">
        <v>82</v>
      </c>
      <c r="D156">
        <v>31</v>
      </c>
      <c r="E156">
        <v>73.851828683623694</v>
      </c>
      <c r="F156">
        <v>69</v>
      </c>
      <c r="G156">
        <v>37946.758821912103</v>
      </c>
      <c r="H156">
        <v>12120.140203307799</v>
      </c>
      <c r="I156">
        <v>16</v>
      </c>
      <c r="J156">
        <v>51.440752731657</v>
      </c>
      <c r="K156">
        <v>3.1511672277081302</v>
      </c>
      <c r="L156" t="str">
        <f t="shared" si="2"/>
        <v>Jun</v>
      </c>
    </row>
    <row r="157" spans="1:12" x14ac:dyDescent="0.3">
      <c r="A157" s="1">
        <v>45082</v>
      </c>
      <c r="B157">
        <v>142</v>
      </c>
      <c r="C157">
        <v>69</v>
      </c>
      <c r="D157">
        <v>25</v>
      </c>
      <c r="E157">
        <v>73.123289481524907</v>
      </c>
      <c r="F157">
        <v>53</v>
      </c>
      <c r="G157">
        <v>42069.893427175601</v>
      </c>
      <c r="H157">
        <v>13259.7821270808</v>
      </c>
      <c r="I157">
        <v>10</v>
      </c>
      <c r="J157">
        <v>57.008870884232998</v>
      </c>
      <c r="K157">
        <v>4.9028464416911302</v>
      </c>
      <c r="L157" t="str">
        <f t="shared" si="2"/>
        <v>Jun</v>
      </c>
    </row>
    <row r="158" spans="1:12" x14ac:dyDescent="0.3">
      <c r="A158" s="1">
        <v>45083</v>
      </c>
      <c r="B158">
        <v>109</v>
      </c>
      <c r="C158">
        <v>80</v>
      </c>
      <c r="D158">
        <v>20</v>
      </c>
      <c r="E158">
        <v>91.730164513862206</v>
      </c>
      <c r="F158">
        <v>51</v>
      </c>
      <c r="G158">
        <v>49950.425341788403</v>
      </c>
      <c r="H158">
        <v>6006.3747852353299</v>
      </c>
      <c r="I158">
        <v>12</v>
      </c>
      <c r="J158">
        <v>84.670814180240001</v>
      </c>
      <c r="K158">
        <v>3.5945815806146602</v>
      </c>
      <c r="L158" t="str">
        <f t="shared" si="2"/>
        <v>Jun</v>
      </c>
    </row>
    <row r="159" spans="1:12" x14ac:dyDescent="0.3">
      <c r="A159" s="1">
        <v>45084</v>
      </c>
      <c r="B159">
        <v>103</v>
      </c>
      <c r="C159">
        <v>63</v>
      </c>
      <c r="D159">
        <v>26</v>
      </c>
      <c r="E159">
        <v>87.351607510192196</v>
      </c>
      <c r="F159">
        <v>69</v>
      </c>
      <c r="G159">
        <v>47993.399940306699</v>
      </c>
      <c r="H159">
        <v>7398.7411275594404</v>
      </c>
      <c r="I159">
        <v>12</v>
      </c>
      <c r="J159">
        <v>61.299149759080997</v>
      </c>
      <c r="K159">
        <v>3.18413397216495</v>
      </c>
      <c r="L159" t="str">
        <f t="shared" si="2"/>
        <v>Jun</v>
      </c>
    </row>
    <row r="160" spans="1:12" x14ac:dyDescent="0.3">
      <c r="A160" s="1">
        <v>45085</v>
      </c>
      <c r="B160">
        <v>103</v>
      </c>
      <c r="C160">
        <v>72</v>
      </c>
      <c r="D160">
        <v>37</v>
      </c>
      <c r="E160">
        <v>78.224819996794096</v>
      </c>
      <c r="F160">
        <v>65</v>
      </c>
      <c r="G160">
        <v>39276.955986055698</v>
      </c>
      <c r="H160">
        <v>6419.7198976099298</v>
      </c>
      <c r="I160">
        <v>16</v>
      </c>
      <c r="J160">
        <v>88.018366823011803</v>
      </c>
      <c r="K160">
        <v>4.19808917430076</v>
      </c>
      <c r="L160" t="str">
        <f t="shared" si="2"/>
        <v>Jun</v>
      </c>
    </row>
    <row r="161" spans="1:12" x14ac:dyDescent="0.3">
      <c r="A161" s="1">
        <v>45086</v>
      </c>
      <c r="B161">
        <v>100</v>
      </c>
      <c r="C161">
        <v>71</v>
      </c>
      <c r="D161">
        <v>34</v>
      </c>
      <c r="E161">
        <v>72.382581069669598</v>
      </c>
      <c r="F161">
        <v>67</v>
      </c>
      <c r="G161">
        <v>32637.441598822101</v>
      </c>
      <c r="H161">
        <v>8479.4141158216607</v>
      </c>
      <c r="I161">
        <v>18</v>
      </c>
      <c r="J161">
        <v>73.2648917195677</v>
      </c>
      <c r="K161">
        <v>4.2472975565805298</v>
      </c>
      <c r="L161" t="str">
        <f t="shared" si="2"/>
        <v>Jun</v>
      </c>
    </row>
    <row r="162" spans="1:12" x14ac:dyDescent="0.3">
      <c r="A162" s="1">
        <v>45087</v>
      </c>
      <c r="B162">
        <v>133</v>
      </c>
      <c r="C162">
        <v>82</v>
      </c>
      <c r="D162">
        <v>27</v>
      </c>
      <c r="E162">
        <v>72.569747487892897</v>
      </c>
      <c r="F162">
        <v>57</v>
      </c>
      <c r="G162">
        <v>39085.3209412469</v>
      </c>
      <c r="H162">
        <v>9503.5097890541201</v>
      </c>
      <c r="I162">
        <v>6</v>
      </c>
      <c r="J162">
        <v>67.464567590750605</v>
      </c>
      <c r="K162">
        <v>4.2970096402373699</v>
      </c>
      <c r="L162" t="str">
        <f t="shared" si="2"/>
        <v>Jun</v>
      </c>
    </row>
    <row r="163" spans="1:12" x14ac:dyDescent="0.3">
      <c r="A163" s="1">
        <v>45088</v>
      </c>
      <c r="B163">
        <v>131</v>
      </c>
      <c r="C163">
        <v>88</v>
      </c>
      <c r="D163">
        <v>37</v>
      </c>
      <c r="E163">
        <v>96.825726239923497</v>
      </c>
      <c r="F163">
        <v>52</v>
      </c>
      <c r="G163">
        <v>43569.548542406897</v>
      </c>
      <c r="H163">
        <v>12488.263369632999</v>
      </c>
      <c r="I163">
        <v>17</v>
      </c>
      <c r="J163">
        <v>73.203553386778097</v>
      </c>
      <c r="K163">
        <v>3.5348040557150799</v>
      </c>
      <c r="L163" t="str">
        <f t="shared" si="2"/>
        <v>Jun</v>
      </c>
    </row>
    <row r="164" spans="1:12" x14ac:dyDescent="0.3">
      <c r="A164" s="1">
        <v>45089</v>
      </c>
      <c r="B164">
        <v>105</v>
      </c>
      <c r="C164">
        <v>81</v>
      </c>
      <c r="D164">
        <v>29</v>
      </c>
      <c r="E164">
        <v>75.756019741562199</v>
      </c>
      <c r="F164">
        <v>58</v>
      </c>
      <c r="G164">
        <v>23550.0857277016</v>
      </c>
      <c r="H164">
        <v>11511.475848816701</v>
      </c>
      <c r="I164">
        <v>19</v>
      </c>
      <c r="J164">
        <v>70.667935409050699</v>
      </c>
      <c r="K164">
        <v>3.0302213684289501</v>
      </c>
      <c r="L164" t="str">
        <f t="shared" si="2"/>
        <v>Jun</v>
      </c>
    </row>
    <row r="165" spans="1:12" x14ac:dyDescent="0.3">
      <c r="A165" s="1">
        <v>45090</v>
      </c>
      <c r="B165">
        <v>124</v>
      </c>
      <c r="C165">
        <v>77</v>
      </c>
      <c r="D165">
        <v>30</v>
      </c>
      <c r="E165">
        <v>79.701146863465596</v>
      </c>
      <c r="F165">
        <v>69</v>
      </c>
      <c r="G165">
        <v>32297.1466908886</v>
      </c>
      <c r="H165">
        <v>11209.2856747843</v>
      </c>
      <c r="I165">
        <v>12</v>
      </c>
      <c r="J165">
        <v>80.351050150293005</v>
      </c>
      <c r="K165">
        <v>4.9300307389089397</v>
      </c>
      <c r="L165" t="str">
        <f t="shared" si="2"/>
        <v>Jun</v>
      </c>
    </row>
    <row r="166" spans="1:12" x14ac:dyDescent="0.3">
      <c r="A166" s="1">
        <v>45091</v>
      </c>
      <c r="B166">
        <v>128</v>
      </c>
      <c r="C166">
        <v>69</v>
      </c>
      <c r="D166">
        <v>38</v>
      </c>
      <c r="E166">
        <v>76.799692066809598</v>
      </c>
      <c r="F166">
        <v>55</v>
      </c>
      <c r="G166">
        <v>45194.068569068499</v>
      </c>
      <c r="H166">
        <v>8523.7494660965403</v>
      </c>
      <c r="I166">
        <v>13</v>
      </c>
      <c r="J166">
        <v>61.299842638914001</v>
      </c>
      <c r="K166">
        <v>3.5017860913822001</v>
      </c>
      <c r="L166" t="str">
        <f t="shared" si="2"/>
        <v>Jun</v>
      </c>
    </row>
    <row r="167" spans="1:12" x14ac:dyDescent="0.3">
      <c r="A167" s="1">
        <v>45092</v>
      </c>
      <c r="B167">
        <v>113</v>
      </c>
      <c r="C167">
        <v>77</v>
      </c>
      <c r="D167">
        <v>26</v>
      </c>
      <c r="E167">
        <v>80.649889174958105</v>
      </c>
      <c r="F167">
        <v>59</v>
      </c>
      <c r="G167">
        <v>31514.988557991299</v>
      </c>
      <c r="H167">
        <v>13414.4755308476</v>
      </c>
      <c r="I167">
        <v>13</v>
      </c>
      <c r="J167">
        <v>64.122015664012096</v>
      </c>
      <c r="K167">
        <v>4.3520525761050903</v>
      </c>
      <c r="L167" t="str">
        <f t="shared" si="2"/>
        <v>Jun</v>
      </c>
    </row>
    <row r="168" spans="1:12" x14ac:dyDescent="0.3">
      <c r="A168" s="1">
        <v>45093</v>
      </c>
      <c r="B168">
        <v>128</v>
      </c>
      <c r="C168">
        <v>84</v>
      </c>
      <c r="D168">
        <v>39</v>
      </c>
      <c r="E168">
        <v>72.082715282382793</v>
      </c>
      <c r="F168">
        <v>59</v>
      </c>
      <c r="G168">
        <v>37156.168136815599</v>
      </c>
      <c r="H168">
        <v>9712.8716739816391</v>
      </c>
      <c r="I168">
        <v>20</v>
      </c>
      <c r="J168">
        <v>85.763772101330005</v>
      </c>
      <c r="K168">
        <v>4.41325973975741</v>
      </c>
      <c r="L168" t="str">
        <f t="shared" si="2"/>
        <v>Jun</v>
      </c>
    </row>
    <row r="169" spans="1:12" x14ac:dyDescent="0.3">
      <c r="A169" s="1">
        <v>45094</v>
      </c>
      <c r="B169">
        <v>116</v>
      </c>
      <c r="C169">
        <v>86</v>
      </c>
      <c r="D169">
        <v>32</v>
      </c>
      <c r="E169">
        <v>85.571793727248107</v>
      </c>
      <c r="F169">
        <v>62</v>
      </c>
      <c r="G169">
        <v>37633.080825865902</v>
      </c>
      <c r="H169">
        <v>14791.0493801515</v>
      </c>
      <c r="I169">
        <v>14</v>
      </c>
      <c r="J169">
        <v>87.858260526016196</v>
      </c>
      <c r="K169">
        <v>4.2200148341589703</v>
      </c>
      <c r="L169" t="str">
        <f t="shared" si="2"/>
        <v>Jun</v>
      </c>
    </row>
    <row r="170" spans="1:12" x14ac:dyDescent="0.3">
      <c r="A170" s="1">
        <v>45095</v>
      </c>
      <c r="B170">
        <v>115</v>
      </c>
      <c r="C170">
        <v>72</v>
      </c>
      <c r="D170">
        <v>34</v>
      </c>
      <c r="E170">
        <v>72.0283769077664</v>
      </c>
      <c r="F170">
        <v>66</v>
      </c>
      <c r="G170">
        <v>25534.2875940091</v>
      </c>
      <c r="H170">
        <v>11341.4213829573</v>
      </c>
      <c r="I170">
        <v>9</v>
      </c>
      <c r="J170">
        <v>85.702329099458893</v>
      </c>
      <c r="K170">
        <v>3.6258147884272902</v>
      </c>
      <c r="L170" t="str">
        <f t="shared" si="2"/>
        <v>Jun</v>
      </c>
    </row>
    <row r="171" spans="1:12" x14ac:dyDescent="0.3">
      <c r="A171" s="1">
        <v>45096</v>
      </c>
      <c r="B171">
        <v>133</v>
      </c>
      <c r="C171">
        <v>89</v>
      </c>
      <c r="D171">
        <v>24</v>
      </c>
      <c r="E171">
        <v>94.010695234670806</v>
      </c>
      <c r="F171">
        <v>58</v>
      </c>
      <c r="G171">
        <v>30867.0632495686</v>
      </c>
      <c r="H171">
        <v>6262.6474156450204</v>
      </c>
      <c r="I171">
        <v>15</v>
      </c>
      <c r="J171">
        <v>66.777919758292498</v>
      </c>
      <c r="K171">
        <v>3.5421925075281302</v>
      </c>
      <c r="L171" t="str">
        <f t="shared" si="2"/>
        <v>Jun</v>
      </c>
    </row>
    <row r="172" spans="1:12" x14ac:dyDescent="0.3">
      <c r="A172" s="1">
        <v>45097</v>
      </c>
      <c r="B172">
        <v>128</v>
      </c>
      <c r="C172">
        <v>84</v>
      </c>
      <c r="D172">
        <v>47</v>
      </c>
      <c r="E172">
        <v>77.011362457312998</v>
      </c>
      <c r="F172">
        <v>66</v>
      </c>
      <c r="G172">
        <v>30035.338662257898</v>
      </c>
      <c r="H172">
        <v>11761.775620754301</v>
      </c>
      <c r="I172">
        <v>17</v>
      </c>
      <c r="J172">
        <v>81.2146201202752</v>
      </c>
      <c r="K172">
        <v>4.1953365654054</v>
      </c>
      <c r="L172" t="str">
        <f t="shared" si="2"/>
        <v>Jun</v>
      </c>
    </row>
    <row r="173" spans="1:12" x14ac:dyDescent="0.3">
      <c r="A173" s="1">
        <v>45098</v>
      </c>
      <c r="B173">
        <v>104</v>
      </c>
      <c r="C173">
        <v>66</v>
      </c>
      <c r="D173">
        <v>37</v>
      </c>
      <c r="E173">
        <v>86.200357438135299</v>
      </c>
      <c r="F173">
        <v>58</v>
      </c>
      <c r="G173">
        <v>20785.9012559619</v>
      </c>
      <c r="H173">
        <v>8251.0401543169901</v>
      </c>
      <c r="I173">
        <v>18</v>
      </c>
      <c r="J173">
        <v>69.053429332043905</v>
      </c>
      <c r="K173">
        <v>4.7321912672233797</v>
      </c>
      <c r="L173" t="str">
        <f t="shared" si="2"/>
        <v>Jun</v>
      </c>
    </row>
    <row r="174" spans="1:12" x14ac:dyDescent="0.3">
      <c r="A174" s="1">
        <v>45099</v>
      </c>
      <c r="B174">
        <v>120</v>
      </c>
      <c r="C174">
        <v>86</v>
      </c>
      <c r="D174">
        <v>26</v>
      </c>
      <c r="E174">
        <v>96.4023726268437</v>
      </c>
      <c r="F174">
        <v>58</v>
      </c>
      <c r="G174">
        <v>20725.752916740599</v>
      </c>
      <c r="H174">
        <v>11863.271966860901</v>
      </c>
      <c r="I174">
        <v>12</v>
      </c>
      <c r="J174">
        <v>69.901594085844096</v>
      </c>
      <c r="K174">
        <v>4.89346745784679</v>
      </c>
      <c r="L174" t="str">
        <f t="shared" si="2"/>
        <v>Jun</v>
      </c>
    </row>
    <row r="175" spans="1:12" x14ac:dyDescent="0.3">
      <c r="A175" s="1">
        <v>45100</v>
      </c>
      <c r="B175">
        <v>114</v>
      </c>
      <c r="C175">
        <v>90</v>
      </c>
      <c r="D175">
        <v>29</v>
      </c>
      <c r="E175">
        <v>89.526321071415794</v>
      </c>
      <c r="F175">
        <v>50</v>
      </c>
      <c r="G175">
        <v>44950.911310273201</v>
      </c>
      <c r="H175">
        <v>5696.4114816240499</v>
      </c>
      <c r="I175">
        <v>18</v>
      </c>
      <c r="J175">
        <v>58.187204362291297</v>
      </c>
      <c r="K175">
        <v>3.2118116088075102</v>
      </c>
      <c r="L175" t="str">
        <f t="shared" si="2"/>
        <v>Jun</v>
      </c>
    </row>
    <row r="176" spans="1:12" x14ac:dyDescent="0.3">
      <c r="A176" s="1">
        <v>45101</v>
      </c>
      <c r="B176">
        <v>116</v>
      </c>
      <c r="C176">
        <v>84</v>
      </c>
      <c r="D176">
        <v>28</v>
      </c>
      <c r="E176">
        <v>85.988733596540001</v>
      </c>
      <c r="F176">
        <v>51</v>
      </c>
      <c r="G176">
        <v>28192.124299184299</v>
      </c>
      <c r="H176">
        <v>6748.8143717595904</v>
      </c>
      <c r="I176">
        <v>6</v>
      </c>
      <c r="J176">
        <v>73.645212130340596</v>
      </c>
      <c r="K176">
        <v>3.3096572251954299</v>
      </c>
      <c r="L176" t="str">
        <f t="shared" si="2"/>
        <v>Jun</v>
      </c>
    </row>
    <row r="177" spans="1:12" x14ac:dyDescent="0.3">
      <c r="A177" s="1">
        <v>45102</v>
      </c>
      <c r="B177">
        <v>137</v>
      </c>
      <c r="C177">
        <v>74</v>
      </c>
      <c r="D177">
        <v>24</v>
      </c>
      <c r="E177">
        <v>79.730012593461197</v>
      </c>
      <c r="F177">
        <v>65</v>
      </c>
      <c r="G177">
        <v>35542.362987164401</v>
      </c>
      <c r="H177">
        <v>13557.372589057801</v>
      </c>
      <c r="I177">
        <v>24</v>
      </c>
      <c r="J177">
        <v>57.445435910133902</v>
      </c>
      <c r="K177">
        <v>4.8894725175661504</v>
      </c>
      <c r="L177" t="str">
        <f t="shared" si="2"/>
        <v>Jun</v>
      </c>
    </row>
    <row r="178" spans="1:12" x14ac:dyDescent="0.3">
      <c r="A178" s="1">
        <v>45103</v>
      </c>
      <c r="B178">
        <v>114</v>
      </c>
      <c r="C178">
        <v>72</v>
      </c>
      <c r="D178">
        <v>46</v>
      </c>
      <c r="E178">
        <v>79.990057391745907</v>
      </c>
      <c r="F178">
        <v>50</v>
      </c>
      <c r="G178">
        <v>28961.767207663099</v>
      </c>
      <c r="H178">
        <v>7271.7955702351401</v>
      </c>
      <c r="I178">
        <v>14</v>
      </c>
      <c r="J178">
        <v>63.262587962687697</v>
      </c>
      <c r="K178">
        <v>4.4730704566695803</v>
      </c>
      <c r="L178" t="str">
        <f t="shared" si="2"/>
        <v>Jun</v>
      </c>
    </row>
    <row r="179" spans="1:12" x14ac:dyDescent="0.3">
      <c r="A179" s="1">
        <v>45104</v>
      </c>
      <c r="B179">
        <v>145</v>
      </c>
      <c r="C179">
        <v>71</v>
      </c>
      <c r="D179">
        <v>33</v>
      </c>
      <c r="E179">
        <v>90.084608655945701</v>
      </c>
      <c r="F179">
        <v>59</v>
      </c>
      <c r="G179">
        <v>48220.377353460201</v>
      </c>
      <c r="H179">
        <v>13370.4112524294</v>
      </c>
      <c r="I179">
        <v>11</v>
      </c>
      <c r="J179">
        <v>84.201208064797399</v>
      </c>
      <c r="K179">
        <v>4.7659876496595404</v>
      </c>
      <c r="L179" t="str">
        <f t="shared" si="2"/>
        <v>Jun</v>
      </c>
    </row>
    <row r="180" spans="1:12" x14ac:dyDescent="0.3">
      <c r="A180" s="1">
        <v>45105</v>
      </c>
      <c r="B180">
        <v>124</v>
      </c>
      <c r="C180">
        <v>78</v>
      </c>
      <c r="D180">
        <v>35</v>
      </c>
      <c r="E180">
        <v>99.824180836634994</v>
      </c>
      <c r="F180">
        <v>67</v>
      </c>
      <c r="G180">
        <v>27778.902765973198</v>
      </c>
      <c r="H180">
        <v>7792.7608845441</v>
      </c>
      <c r="I180">
        <v>13</v>
      </c>
      <c r="J180">
        <v>58.283032368434199</v>
      </c>
      <c r="K180">
        <v>3.4052652682706799</v>
      </c>
      <c r="L180" t="str">
        <f t="shared" si="2"/>
        <v>Jun</v>
      </c>
    </row>
    <row r="181" spans="1:12" x14ac:dyDescent="0.3">
      <c r="A181" s="1">
        <v>45106</v>
      </c>
      <c r="B181">
        <v>113</v>
      </c>
      <c r="C181">
        <v>89</v>
      </c>
      <c r="D181">
        <v>25</v>
      </c>
      <c r="E181">
        <v>89.855175695481293</v>
      </c>
      <c r="F181">
        <v>57</v>
      </c>
      <c r="G181">
        <v>32889.704382167998</v>
      </c>
      <c r="H181">
        <v>11428.819100586999</v>
      </c>
      <c r="I181">
        <v>18</v>
      </c>
      <c r="J181">
        <v>52.846331406937303</v>
      </c>
      <c r="K181">
        <v>4.1751717422187999</v>
      </c>
      <c r="L181" t="str">
        <f t="shared" si="2"/>
        <v>Jun</v>
      </c>
    </row>
    <row r="182" spans="1:12" x14ac:dyDescent="0.3">
      <c r="A182" s="1">
        <v>45107</v>
      </c>
      <c r="B182">
        <v>126</v>
      </c>
      <c r="C182">
        <v>73</v>
      </c>
      <c r="D182">
        <v>24</v>
      </c>
      <c r="E182">
        <v>86.733502521100704</v>
      </c>
      <c r="F182">
        <v>60</v>
      </c>
      <c r="G182">
        <v>46181.907514537997</v>
      </c>
      <c r="H182">
        <v>11941.505735098301</v>
      </c>
      <c r="I182">
        <v>11</v>
      </c>
      <c r="J182">
        <v>52.760303704512602</v>
      </c>
      <c r="K182">
        <v>4.4022791888349397</v>
      </c>
      <c r="L182" t="str">
        <f t="shared" si="2"/>
        <v>Jun</v>
      </c>
    </row>
    <row r="183" spans="1:12" x14ac:dyDescent="0.3">
      <c r="A183" s="1">
        <v>45108</v>
      </c>
      <c r="B183">
        <v>130</v>
      </c>
      <c r="C183">
        <v>82</v>
      </c>
      <c r="D183">
        <v>27</v>
      </c>
      <c r="E183">
        <v>91.919515307177306</v>
      </c>
      <c r="F183">
        <v>51</v>
      </c>
      <c r="G183">
        <v>45258.007003754203</v>
      </c>
      <c r="H183">
        <v>10126.5475314505</v>
      </c>
      <c r="I183">
        <v>15</v>
      </c>
      <c r="J183">
        <v>87.631380820124306</v>
      </c>
      <c r="K183">
        <v>4.3602237708939402</v>
      </c>
      <c r="L183" t="str">
        <f t="shared" si="2"/>
        <v>Jul</v>
      </c>
    </row>
    <row r="184" spans="1:12" x14ac:dyDescent="0.3">
      <c r="A184" s="1">
        <v>45109</v>
      </c>
      <c r="B184">
        <v>102</v>
      </c>
      <c r="C184">
        <v>83</v>
      </c>
      <c r="D184">
        <v>29</v>
      </c>
      <c r="E184">
        <v>83.956168368511499</v>
      </c>
      <c r="F184">
        <v>57</v>
      </c>
      <c r="G184">
        <v>25583.0425353883</v>
      </c>
      <c r="H184">
        <v>8053.1067669673103</v>
      </c>
      <c r="I184">
        <v>11</v>
      </c>
      <c r="J184">
        <v>70.276817518473393</v>
      </c>
      <c r="K184">
        <v>3.8163033817333898</v>
      </c>
      <c r="L184" t="str">
        <f t="shared" si="2"/>
        <v>Jul</v>
      </c>
    </row>
    <row r="185" spans="1:12" x14ac:dyDescent="0.3">
      <c r="A185" s="1">
        <v>45110</v>
      </c>
      <c r="B185">
        <v>97</v>
      </c>
      <c r="C185">
        <v>81</v>
      </c>
      <c r="D185">
        <v>32</v>
      </c>
      <c r="E185">
        <v>71.804270278023495</v>
      </c>
      <c r="F185">
        <v>57</v>
      </c>
      <c r="G185">
        <v>44079.2992938713</v>
      </c>
      <c r="H185">
        <v>7126.4437637109604</v>
      </c>
      <c r="I185">
        <v>16</v>
      </c>
      <c r="J185">
        <v>66.376482872680697</v>
      </c>
      <c r="K185">
        <v>3.0307897833826098</v>
      </c>
      <c r="L185" t="str">
        <f t="shared" si="2"/>
        <v>Jul</v>
      </c>
    </row>
    <row r="186" spans="1:12" x14ac:dyDescent="0.3">
      <c r="A186" s="1">
        <v>45111</v>
      </c>
      <c r="B186">
        <v>118</v>
      </c>
      <c r="C186">
        <v>87</v>
      </c>
      <c r="D186">
        <v>24</v>
      </c>
      <c r="E186">
        <v>86.868904476337207</v>
      </c>
      <c r="F186">
        <v>66</v>
      </c>
      <c r="G186">
        <v>33745.606602136701</v>
      </c>
      <c r="H186">
        <v>5331.8935456242598</v>
      </c>
      <c r="I186">
        <v>10</v>
      </c>
      <c r="J186">
        <v>82.435143240316705</v>
      </c>
      <c r="K186">
        <v>4.16585211360852</v>
      </c>
      <c r="L186" t="str">
        <f t="shared" si="2"/>
        <v>Jul</v>
      </c>
    </row>
    <row r="187" spans="1:12" x14ac:dyDescent="0.3">
      <c r="A187" s="1">
        <v>45112</v>
      </c>
      <c r="B187">
        <v>115</v>
      </c>
      <c r="C187">
        <v>92</v>
      </c>
      <c r="D187">
        <v>33</v>
      </c>
      <c r="E187">
        <v>98.728758535161404</v>
      </c>
      <c r="F187">
        <v>64</v>
      </c>
      <c r="G187">
        <v>34489.066162560601</v>
      </c>
      <c r="H187">
        <v>8039.4640124072303</v>
      </c>
      <c r="I187">
        <v>18</v>
      </c>
      <c r="J187">
        <v>83.433037116420607</v>
      </c>
      <c r="K187">
        <v>3.50620307835921</v>
      </c>
      <c r="L187" t="str">
        <f t="shared" si="2"/>
        <v>Jul</v>
      </c>
    </row>
    <row r="188" spans="1:12" x14ac:dyDescent="0.3">
      <c r="A188" s="1">
        <v>45113</v>
      </c>
      <c r="B188">
        <v>106</v>
      </c>
      <c r="C188">
        <v>93</v>
      </c>
      <c r="D188">
        <v>36</v>
      </c>
      <c r="E188">
        <v>75.259088270729706</v>
      </c>
      <c r="F188">
        <v>66</v>
      </c>
      <c r="G188">
        <v>24004.399172478301</v>
      </c>
      <c r="H188">
        <v>11531.6279053128</v>
      </c>
      <c r="I188">
        <v>17</v>
      </c>
      <c r="J188">
        <v>63.287641324624097</v>
      </c>
      <c r="K188">
        <v>3.90050849228578</v>
      </c>
      <c r="L188" t="str">
        <f t="shared" si="2"/>
        <v>Jul</v>
      </c>
    </row>
    <row r="189" spans="1:12" x14ac:dyDescent="0.3">
      <c r="A189" s="1">
        <v>45114</v>
      </c>
      <c r="B189">
        <v>124</v>
      </c>
      <c r="C189">
        <v>78</v>
      </c>
      <c r="D189">
        <v>31</v>
      </c>
      <c r="E189">
        <v>90.700146724619898</v>
      </c>
      <c r="F189">
        <v>62</v>
      </c>
      <c r="G189">
        <v>22418.045412713702</v>
      </c>
      <c r="H189">
        <v>14383.0481844848</v>
      </c>
      <c r="I189">
        <v>18</v>
      </c>
      <c r="J189">
        <v>77.7447222989518</v>
      </c>
      <c r="K189">
        <v>4.9151620301676298</v>
      </c>
      <c r="L189" t="str">
        <f t="shared" si="2"/>
        <v>Jul</v>
      </c>
    </row>
    <row r="190" spans="1:12" x14ac:dyDescent="0.3">
      <c r="A190" s="1">
        <v>45115</v>
      </c>
      <c r="B190">
        <v>102</v>
      </c>
      <c r="C190">
        <v>74</v>
      </c>
      <c r="D190">
        <v>25</v>
      </c>
      <c r="E190">
        <v>76.028010659771695</v>
      </c>
      <c r="F190">
        <v>68</v>
      </c>
      <c r="G190">
        <v>41838.179209212904</v>
      </c>
      <c r="H190">
        <v>13712.0448226305</v>
      </c>
      <c r="I190">
        <v>21</v>
      </c>
      <c r="J190">
        <v>80.844912634075399</v>
      </c>
      <c r="K190">
        <v>3.7980706352848599</v>
      </c>
      <c r="L190" t="str">
        <f t="shared" si="2"/>
        <v>Jul</v>
      </c>
    </row>
    <row r="191" spans="1:12" x14ac:dyDescent="0.3">
      <c r="A191" s="1">
        <v>45116</v>
      </c>
      <c r="B191">
        <v>100</v>
      </c>
      <c r="C191">
        <v>83</v>
      </c>
      <c r="D191">
        <v>26</v>
      </c>
      <c r="E191">
        <v>86.074830534192401</v>
      </c>
      <c r="F191">
        <v>54</v>
      </c>
      <c r="G191">
        <v>34893.834570658903</v>
      </c>
      <c r="H191">
        <v>12660.647765353</v>
      </c>
      <c r="I191">
        <v>13</v>
      </c>
      <c r="J191">
        <v>76.186027474638095</v>
      </c>
      <c r="K191">
        <v>4.6796032133288499</v>
      </c>
      <c r="L191" t="str">
        <f t="shared" si="2"/>
        <v>Jul</v>
      </c>
    </row>
    <row r="192" spans="1:12" x14ac:dyDescent="0.3">
      <c r="A192" s="1">
        <v>45117</v>
      </c>
      <c r="B192">
        <v>127</v>
      </c>
      <c r="C192">
        <v>69</v>
      </c>
      <c r="D192">
        <v>30</v>
      </c>
      <c r="E192">
        <v>72.900293489401506</v>
      </c>
      <c r="F192">
        <v>61</v>
      </c>
      <c r="G192">
        <v>33105.521078455298</v>
      </c>
      <c r="H192">
        <v>12884.473432532899</v>
      </c>
      <c r="I192">
        <v>9</v>
      </c>
      <c r="J192">
        <v>56.0638029920039</v>
      </c>
      <c r="K192">
        <v>3.3770812114985</v>
      </c>
      <c r="L192" t="str">
        <f t="shared" si="2"/>
        <v>Jul</v>
      </c>
    </row>
    <row r="193" spans="1:12" x14ac:dyDescent="0.3">
      <c r="A193" s="1">
        <v>45118</v>
      </c>
      <c r="B193">
        <v>116</v>
      </c>
      <c r="C193">
        <v>70</v>
      </c>
      <c r="D193">
        <v>16</v>
      </c>
      <c r="E193">
        <v>83.511128087745504</v>
      </c>
      <c r="F193">
        <v>50</v>
      </c>
      <c r="G193">
        <v>41885.246859571896</v>
      </c>
      <c r="H193">
        <v>11649.8490347599</v>
      </c>
      <c r="I193">
        <v>12</v>
      </c>
      <c r="J193">
        <v>85.035323340682197</v>
      </c>
      <c r="K193">
        <v>4.3449209960500497</v>
      </c>
      <c r="L193" t="str">
        <f t="shared" si="2"/>
        <v>Jul</v>
      </c>
    </row>
    <row r="194" spans="1:12" x14ac:dyDescent="0.3">
      <c r="A194" s="1">
        <v>45119</v>
      </c>
      <c r="B194">
        <v>116</v>
      </c>
      <c r="C194">
        <v>68</v>
      </c>
      <c r="D194">
        <v>29</v>
      </c>
      <c r="E194">
        <v>92.684899866857293</v>
      </c>
      <c r="F194">
        <v>54</v>
      </c>
      <c r="G194">
        <v>42965.386969733197</v>
      </c>
      <c r="H194">
        <v>7602.8685756600298</v>
      </c>
      <c r="I194">
        <v>13</v>
      </c>
      <c r="J194">
        <v>71.563782109440297</v>
      </c>
      <c r="K194">
        <v>4.9540139088778803</v>
      </c>
      <c r="L194" t="str">
        <f t="shared" si="2"/>
        <v>Jul</v>
      </c>
    </row>
    <row r="195" spans="1:12" x14ac:dyDescent="0.3">
      <c r="A195" s="1">
        <v>45120</v>
      </c>
      <c r="B195">
        <v>129</v>
      </c>
      <c r="C195">
        <v>74</v>
      </c>
      <c r="D195">
        <v>27</v>
      </c>
      <c r="E195">
        <v>80.427145727169403</v>
      </c>
      <c r="F195">
        <v>57</v>
      </c>
      <c r="G195">
        <v>24767.245030080601</v>
      </c>
      <c r="H195">
        <v>14071.9503070582</v>
      </c>
      <c r="I195">
        <v>10</v>
      </c>
      <c r="J195">
        <v>61.298897054800101</v>
      </c>
      <c r="K195">
        <v>3.2037862017458698</v>
      </c>
      <c r="L195" t="str">
        <f t="shared" ref="L195:L201" si="3">TEXT(A195,"mmm")</f>
        <v>Jul</v>
      </c>
    </row>
    <row r="196" spans="1:12" x14ac:dyDescent="0.3">
      <c r="A196" s="1">
        <v>45121</v>
      </c>
      <c r="B196">
        <v>118</v>
      </c>
      <c r="C196">
        <v>84</v>
      </c>
      <c r="D196">
        <v>16</v>
      </c>
      <c r="E196">
        <v>89.947351734616504</v>
      </c>
      <c r="F196">
        <v>62</v>
      </c>
      <c r="G196">
        <v>38306.754484329198</v>
      </c>
      <c r="H196">
        <v>11707.323119058299</v>
      </c>
      <c r="I196">
        <v>15</v>
      </c>
      <c r="J196">
        <v>67.009127417507699</v>
      </c>
      <c r="K196">
        <v>3.01663988445438</v>
      </c>
      <c r="L196" t="str">
        <f t="shared" si="3"/>
        <v>Jul</v>
      </c>
    </row>
    <row r="197" spans="1:12" x14ac:dyDescent="0.3">
      <c r="A197" s="1">
        <v>45122</v>
      </c>
      <c r="B197">
        <v>104</v>
      </c>
      <c r="C197">
        <v>72</v>
      </c>
      <c r="D197">
        <v>32</v>
      </c>
      <c r="E197">
        <v>93.863498823691799</v>
      </c>
      <c r="F197">
        <v>57</v>
      </c>
      <c r="G197">
        <v>24060.622468330501</v>
      </c>
      <c r="H197">
        <v>10604.406309804301</v>
      </c>
      <c r="I197">
        <v>15</v>
      </c>
      <c r="J197">
        <v>51.502843615956202</v>
      </c>
      <c r="K197">
        <v>3.8671655852652198</v>
      </c>
      <c r="L197" t="str">
        <f t="shared" si="3"/>
        <v>Jul</v>
      </c>
    </row>
    <row r="198" spans="1:12" x14ac:dyDescent="0.3">
      <c r="A198" s="1">
        <v>45123</v>
      </c>
      <c r="B198">
        <v>97</v>
      </c>
      <c r="C198">
        <v>69</v>
      </c>
      <c r="D198">
        <v>29</v>
      </c>
      <c r="E198">
        <v>97.815334584383507</v>
      </c>
      <c r="F198">
        <v>60</v>
      </c>
      <c r="G198">
        <v>42541.252580871304</v>
      </c>
      <c r="H198">
        <v>6109.8946921348097</v>
      </c>
      <c r="I198">
        <v>25</v>
      </c>
      <c r="J198">
        <v>55.114672048896701</v>
      </c>
      <c r="K198">
        <v>3.1852509661027302</v>
      </c>
      <c r="L198" t="str">
        <f t="shared" si="3"/>
        <v>Jul</v>
      </c>
    </row>
    <row r="199" spans="1:12" x14ac:dyDescent="0.3">
      <c r="A199" s="1">
        <v>45124</v>
      </c>
      <c r="B199">
        <v>105</v>
      </c>
      <c r="C199">
        <v>92</v>
      </c>
      <c r="D199">
        <v>30</v>
      </c>
      <c r="E199">
        <v>77.039262455663604</v>
      </c>
      <c r="F199">
        <v>50</v>
      </c>
      <c r="G199">
        <v>39708.654688014103</v>
      </c>
      <c r="H199">
        <v>9470.5554380642498</v>
      </c>
      <c r="I199">
        <v>17</v>
      </c>
      <c r="J199">
        <v>80.621870020634404</v>
      </c>
      <c r="K199">
        <v>4.4967686993524598</v>
      </c>
      <c r="L199" t="str">
        <f t="shared" si="3"/>
        <v>Jul</v>
      </c>
    </row>
    <row r="200" spans="1:12" x14ac:dyDescent="0.3">
      <c r="A200" s="1">
        <v>45125</v>
      </c>
      <c r="B200">
        <v>128</v>
      </c>
      <c r="C200">
        <v>83</v>
      </c>
      <c r="D200">
        <v>23</v>
      </c>
      <c r="E200">
        <v>81.979477474279193</v>
      </c>
      <c r="F200">
        <v>62</v>
      </c>
      <c r="G200">
        <v>48698.438632503698</v>
      </c>
      <c r="H200">
        <v>9603.5827120192607</v>
      </c>
      <c r="I200">
        <v>18</v>
      </c>
      <c r="J200">
        <v>50.0004653902146</v>
      </c>
      <c r="K200">
        <v>4.8290973276971103</v>
      </c>
      <c r="L200" t="str">
        <f t="shared" si="3"/>
        <v>Jul</v>
      </c>
    </row>
    <row r="201" spans="1:12" x14ac:dyDescent="0.3">
      <c r="A201" s="1">
        <v>45126</v>
      </c>
      <c r="B201">
        <v>149</v>
      </c>
      <c r="C201">
        <v>78</v>
      </c>
      <c r="D201">
        <v>27</v>
      </c>
      <c r="E201">
        <v>74.572480399912493</v>
      </c>
      <c r="F201">
        <v>68</v>
      </c>
      <c r="G201">
        <v>22068.740490692599</v>
      </c>
      <c r="H201">
        <v>13645.6360952267</v>
      </c>
      <c r="I201">
        <v>10</v>
      </c>
      <c r="J201">
        <v>66.6626331392916</v>
      </c>
      <c r="K201">
        <v>3.8680419454175099</v>
      </c>
      <c r="L201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Sanskriti Tondihal</dc:creator>
  <cp:lastModifiedBy>Sanskriti Tondihal</cp:lastModifiedBy>
  <dcterms:created xsi:type="dcterms:W3CDTF">2026-05-26T06:41:17Z</dcterms:created>
  <dcterms:modified xsi:type="dcterms:W3CDTF">2026-05-26T06:53:56Z</dcterms:modified>
</cp:coreProperties>
</file>